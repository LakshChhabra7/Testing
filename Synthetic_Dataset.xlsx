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ther_Data" sheetId="1" state="visible" r:id="rId3"/>
    <sheet name="Material_Properties" sheetId="2" state="visible" r:id="rId4"/>
    <sheet name="Shelter_Design" sheetId="3" state="visible" r:id="rId5"/>
    <sheet name="Combined_Scenarios" sheetId="4" state="visible" r:id="rId6"/>
    <sheet name="Output_Benefits" sheetId="5" state="visible" r:id="rId7"/>
    <sheet name="Data_Diction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<sst xmlns="http://schemas.openxmlformats.org/spreadsheetml/2006/main" count="3671" uniqueCount="840">
  <si>
    <t xml:space="preserve">Location</t>
  </si>
  <si>
    <t xml:space="preserve">Latitude</t>
  </si>
  <si>
    <t xml:space="preserve">Longitude</t>
  </si>
  <si>
    <t xml:space="preserve">Elevation_m</t>
  </si>
  <si>
    <t xml:space="preserve">Region_Climate_Type</t>
  </si>
  <si>
    <t xml:space="preserve">Month</t>
  </si>
  <si>
    <t xml:space="preserve">Month_Number</t>
  </si>
  <si>
    <t xml:space="preserve">Season</t>
  </si>
  <si>
    <t xml:space="preserve">Date_Representative</t>
  </si>
  <si>
    <t xml:space="preserve">Location_Month_Key</t>
  </si>
  <si>
    <t xml:space="preserve">Outdoor_Temperature_C</t>
  </si>
  <si>
    <t xml:space="preserve">Relative_Humidity_pct</t>
  </si>
  <si>
    <t xml:space="preserve">Wind_Speed_ms</t>
  </si>
  <si>
    <t xml:space="preserve">Wind_Direction</t>
  </si>
  <si>
    <t xml:space="preserve">Solar_kWh_m2_day</t>
  </si>
  <si>
    <t xml:space="preserve">Solar_Radiation_Wm2</t>
  </si>
  <si>
    <t xml:space="preserve">Rainfall_mm</t>
  </si>
  <si>
    <t xml:space="preserve">Seasonal_Pressure_Adjustment_hPa</t>
  </si>
  <si>
    <t xml:space="preserve">Atmospheric_Pressure_hPa</t>
  </si>
  <si>
    <t xml:space="preserve">Data_Source_Label</t>
  </si>
  <si>
    <t xml:space="preserve">Leh</t>
  </si>
  <si>
    <t xml:space="preserve">Cold high-altitude desert</t>
  </si>
  <si>
    <t xml:space="preserve">January</t>
  </si>
  <si>
    <t xml:space="preserve">Winter</t>
  </si>
  <si>
    <t xml:space="preserve">2024-01-15</t>
  </si>
  <si>
    <t xml:space="preserve">NW</t>
  </si>
  <si>
    <t xml:space="preserve">SYNTHETIC/REPRESENTATIVE - illustrative monthly climatology pattern based on general published climate characteristics of each location; NOT actual IMD historical observations. Validate against IMD 1991-2020 normals or NASA POWER before final use.</t>
  </si>
  <si>
    <t xml:space="preserve">February</t>
  </si>
  <si>
    <t xml:space="preserve">2024-02-15</t>
  </si>
  <si>
    <t xml:space="preserve">March</t>
  </si>
  <si>
    <t xml:space="preserve">Spring/Pre-monsoon</t>
  </si>
  <si>
    <t xml:space="preserve">2024-03-15</t>
  </si>
  <si>
    <t xml:space="preserve">W</t>
  </si>
  <si>
    <t xml:space="preserve">April</t>
  </si>
  <si>
    <t xml:space="preserve">2024-04-15</t>
  </si>
  <si>
    <t xml:space="preserve">May</t>
  </si>
  <si>
    <t xml:space="preserve">Summer/Pre-monsoon</t>
  </si>
  <si>
    <t xml:space="preserve">2024-05-15</t>
  </si>
  <si>
    <t xml:space="preserve">SW</t>
  </si>
  <si>
    <t xml:space="preserve">June</t>
  </si>
  <si>
    <t xml:space="preserve">Monsoon</t>
  </si>
  <si>
    <t xml:space="preserve">2024-06-15</t>
  </si>
  <si>
    <t xml:space="preserve">July</t>
  </si>
  <si>
    <t xml:space="preserve">2024-07-15</t>
  </si>
  <si>
    <t xml:space="preserve">August</t>
  </si>
  <si>
    <t xml:space="preserve">2024-08-15</t>
  </si>
  <si>
    <t xml:space="preserve">September</t>
  </si>
  <si>
    <t xml:space="preserve">2024-09-15</t>
  </si>
  <si>
    <t xml:space="preserve">October</t>
  </si>
  <si>
    <t xml:space="preserve">Post-monsoon/Autumn</t>
  </si>
  <si>
    <t xml:space="preserve">2024-10-15</t>
  </si>
  <si>
    <t xml:space="preserve">November</t>
  </si>
  <si>
    <t xml:space="preserve">2024-11-15</t>
  </si>
  <si>
    <t xml:space="preserve">December</t>
  </si>
  <si>
    <t xml:space="preserve">2024-12-15</t>
  </si>
  <si>
    <t xml:space="preserve">Srinagar</t>
  </si>
  <si>
    <t xml:space="preserve">Cold temperate (valley)</t>
  </si>
  <si>
    <t xml:space="preserve">Delhi</t>
  </si>
  <si>
    <t xml:space="preserve">Composite / semi-arid</t>
  </si>
  <si>
    <t xml:space="preserve">NE</t>
  </si>
  <si>
    <t xml:space="preserve">Jaisalmer</t>
  </si>
  <si>
    <t xml:space="preserve">Hot desert (arid)</t>
  </si>
  <si>
    <t xml:space="preserve">Guwahati</t>
  </si>
  <si>
    <t xml:space="preserve">Humid subtropical (NE India)</t>
  </si>
  <si>
    <t xml:space="preserve">N</t>
  </si>
  <si>
    <t xml:space="preserve">SE</t>
  </si>
  <si>
    <t xml:space="preserve">S</t>
  </si>
  <si>
    <t xml:space="preserve">Chennai</t>
  </si>
  <si>
    <t xml:space="preserve">Hot-humid coastal (tropical)</t>
  </si>
  <si>
    <t xml:space="preserve">Material_ID</t>
  </si>
  <si>
    <t xml:space="preserve">Material_Name</t>
  </si>
  <si>
    <t xml:space="preserve">Material_Category</t>
  </si>
  <si>
    <t xml:space="preserve">Thermal_Conductivity_k_WmK</t>
  </si>
  <si>
    <t xml:space="preserve">Density_kgm3</t>
  </si>
  <si>
    <t xml:space="preserve">Specific_Heat_JkgK</t>
  </si>
  <si>
    <t xml:space="preserve">Emissivity</t>
  </si>
  <si>
    <t xml:space="preserve">Thickness_Min_mm</t>
  </si>
  <si>
    <t xml:space="preserve">Thickness_Max_mm</t>
  </si>
  <si>
    <t xml:space="preserve">Thickness_Mid_mm</t>
  </si>
  <si>
    <t xml:space="preserve">Thermal_Resistance_R_m2KW</t>
  </si>
  <si>
    <t xml:space="preserve">Moisture_Resistance</t>
  </si>
  <si>
    <t xml:space="preserve">Durability</t>
  </si>
  <si>
    <t xml:space="preserve">Weight_Category</t>
  </si>
  <si>
    <t xml:space="preserve">Approximate_Relative_Cost</t>
  </si>
  <si>
    <t xml:space="preserve">Suitability_Cold_Climate</t>
  </si>
  <si>
    <t xml:space="preserve">Suitability_Hot_Dry_Climate</t>
  </si>
  <si>
    <t xml:space="preserve">Suitability_Hot_Humid_Climate</t>
  </si>
  <si>
    <t xml:space="preserve">Suitability_Temporary_Shelter</t>
  </si>
  <si>
    <t xml:space="preserve">Advantages</t>
  </si>
  <si>
    <t xml:space="preserve">Limitations</t>
  </si>
  <si>
    <t xml:space="preserve">M01</t>
  </si>
  <si>
    <t xml:space="preserve">Concrete</t>
  </si>
  <si>
    <t xml:space="preserve">Masonry</t>
  </si>
  <si>
    <t xml:space="preserve">Medium-High</t>
  </si>
  <si>
    <t xml:space="preserve">High</t>
  </si>
  <si>
    <t xml:space="preserve">Medium</t>
  </si>
  <si>
    <t xml:space="preserve">Partial</t>
  </si>
  <si>
    <t xml:space="preserve">Yes</t>
  </si>
  <si>
    <t xml:space="preserve">No</t>
  </si>
  <si>
    <t xml:space="preserve">High thermal mass, structurally robust</t>
  </si>
  <si>
    <t xml:space="preserve">Heavy, poor insulator alone, needs added insulation for cold climates</t>
  </si>
  <si>
    <t xml:space="preserve">SYNTHETIC/REFERENCE - typical values at the level of standard engineering literature (ASHRAE Fundamentals-type ranges); validate against manufacturer datasheets or measured lab data before final use.</t>
  </si>
  <si>
    <t xml:space="preserve">M02</t>
  </si>
  <si>
    <t xml:space="preserve">Brick</t>
  </si>
  <si>
    <t xml:space="preserve">Low-Medium</t>
  </si>
  <si>
    <t xml:space="preserve">Locally available, good thermal mass, fire-resistant</t>
  </si>
  <si>
    <t xml:space="preserve">Heavy, requires skilled labour, poor insulation alone</t>
  </si>
  <si>
    <t xml:space="preserve">M03</t>
  </si>
  <si>
    <t xml:space="preserve">Steel (structural sheet)</t>
  </si>
  <si>
    <t xml:space="preserve">Metal</t>
  </si>
  <si>
    <t xml:space="preserve">Medium (bare)/High (coated)</t>
  </si>
  <si>
    <t xml:space="preserve">Strong, fast assembly, good strength-to-weight</t>
  </si>
  <si>
    <t xml:space="preserve">Very poor insulator alone; overheats in direct sun without insulation</t>
  </si>
  <si>
    <t xml:space="preserve">M04</t>
  </si>
  <si>
    <t xml:space="preserve">Aluminium (sheet)</t>
  </si>
  <si>
    <t xml:space="preserve">Very lightweight, corrosion resistant, easy to transport to remote sites</t>
  </si>
  <si>
    <t xml:space="preserve">Extremely high conductivity - unusable as insulator without added layer</t>
  </si>
  <si>
    <t xml:space="preserve">M05</t>
  </si>
  <si>
    <t xml:space="preserve">Plywood</t>
  </si>
  <si>
    <t xml:space="preserve">Wood-based</t>
  </si>
  <si>
    <t xml:space="preserve">Easy to work with, moderate insulation, lightweight</t>
  </si>
  <si>
    <t xml:space="preserve">Vulnerable to moisture/humidity, moderate outdoor durability</t>
  </si>
  <si>
    <t xml:space="preserve">M06</t>
  </si>
  <si>
    <t xml:space="preserve">Timber (softwood)</t>
  </si>
  <si>
    <t xml:space="preserve">Wood</t>
  </si>
  <si>
    <t xml:space="preserve">Naturally insulating, renewable, workable by hand</t>
  </si>
  <si>
    <t xml:space="preserve">Combustible, moisture-sensitive, limited availability at high altitude</t>
  </si>
  <si>
    <t xml:space="preserve">M07</t>
  </si>
  <si>
    <t xml:space="preserve">EPS (Expanded Polystyrene)</t>
  </si>
  <si>
    <t xml:space="preserve">Insulation</t>
  </si>
  <si>
    <t xml:space="preserve">Very light, good insulation, inexpensive</t>
  </si>
  <si>
    <t xml:space="preserve">UV-degradable if exposed, low structural strength, flammable untreated</t>
  </si>
  <si>
    <t xml:space="preserve">M08</t>
  </si>
  <si>
    <t xml:space="preserve">XPS (Extruded Polystyrene)</t>
  </si>
  <si>
    <t xml:space="preserve">Closed-cell structure gives high moisture resistance and good insulation</t>
  </si>
  <si>
    <t xml:space="preserve">Higher cost than EPS, still needs UV protection</t>
  </si>
  <si>
    <t xml:space="preserve">M09</t>
  </si>
  <si>
    <t xml:space="preserve">Mineral wool</t>
  </si>
  <si>
    <t xml:space="preserve">Low</t>
  </si>
  <si>
    <t xml:space="preserve">Fire-resistant, good acoustic + thermal insulation</t>
  </si>
  <si>
    <t xml:space="preserve">Absorbs moisture and loses performance if wet, needs vapour barrier</t>
  </si>
  <si>
    <t xml:space="preserve">M10</t>
  </si>
  <si>
    <t xml:space="preserve">Fiberglass insulation</t>
  </si>
  <si>
    <t xml:space="preserve">Widely available, inexpensive, good thermal performance</t>
  </si>
  <si>
    <t xml:space="preserve">Irritant during handling, performance drops if compressed/wet</t>
  </si>
  <si>
    <t xml:space="preserve">M11</t>
  </si>
  <si>
    <t xml:space="preserve">Polyurethane/PIR insulation</t>
  </si>
  <si>
    <t xml:space="preserve">Best-in-class insulation value (lowest k), thin profile for given R-value</t>
  </si>
  <si>
    <t xml:space="preserve">Highest cost among common insulators, needs fire-rated facing</t>
  </si>
  <si>
    <t xml:space="preserve">M12</t>
  </si>
  <si>
    <t xml:space="preserve">Canvas/fabric (tent material)</t>
  </si>
  <si>
    <t xml:space="preserve">Fabric</t>
  </si>
  <si>
    <t xml:space="preserve">Low (unless treated)</t>
  </si>
  <si>
    <t xml:space="preserve">Extremely lightweight, fast to deploy, low cost</t>
  </si>
  <si>
    <t xml:space="preserve">Negligible insulation alone, needs liner/PCM layer for cold climates, short lifespan</t>
  </si>
  <si>
    <t xml:space="preserve">M13</t>
  </si>
  <si>
    <t xml:space="preserve">Geotextile</t>
  </si>
  <si>
    <t xml:space="preserve">Useful for ground moisture barrier and erosion control</t>
  </si>
  <si>
    <t xml:space="preserve">Not a primary thermal envelope material - supportive role only</t>
  </si>
  <si>
    <t xml:space="preserve">M14</t>
  </si>
  <si>
    <t xml:space="preserve">Mud/adobe (light/low-density)</t>
  </si>
  <si>
    <t xml:space="preserve">Earth-based</t>
  </si>
  <si>
    <t xml:space="preserve">Very Low</t>
  </si>
  <si>
    <t xml:space="preserve">Locally sourced, historically proven in Ladakh, high thermal mass smooths day-night swing</t>
  </si>
  <si>
    <t xml:space="preserve">Vulnerable to rain/moisture, heavy, slow to construct, needs maintenance</t>
  </si>
  <si>
    <t xml:space="preserve">M15</t>
  </si>
  <si>
    <t xml:space="preserve">Mud/adobe (dense/rammed earth)</t>
  </si>
  <si>
    <t xml:space="preserve">Higher structural strength than light adobe, strong thermal mass</t>
  </si>
  <si>
    <t xml:space="preserve">Heavier, more labour-intensive to construct, still moisture-vulnerable</t>
  </si>
  <si>
    <t xml:space="preserve">M16</t>
  </si>
  <si>
    <t xml:space="preserve">Composite insulated sandwich panel</t>
  </si>
  <si>
    <t xml:space="preserve">Composite</t>
  </si>
  <si>
    <t xml:space="preserve">Combines structural skins with insulating core - good all-round performer, fast assembly</t>
  </si>
  <si>
    <t xml:space="preserve">Higher upfront cost, requires factory manufacture</t>
  </si>
  <si>
    <t xml:space="preserve">M17</t>
  </si>
  <si>
    <t xml:space="preserve">Rock wool board (rigid)</t>
  </si>
  <si>
    <t xml:space="preserve">Rigid board form eases installation vs batt mineral wool, fire resistant</t>
  </si>
  <si>
    <t xml:space="preserve">Similar moisture sensitivity to mineral wool batts</t>
  </si>
  <si>
    <t xml:space="preserve">M18</t>
  </si>
  <si>
    <t xml:space="preserve">Straw bale (insulating wall)</t>
  </si>
  <si>
    <t xml:space="preserve">Earth/Bio-based</t>
  </si>
  <si>
    <t xml:space="preserve">Low (unprotected)</t>
  </si>
  <si>
    <t xml:space="preserve">Very low-cost, good insulation for its bulk, locally available in agricultural regions</t>
  </si>
  <si>
    <t xml:space="preserve">Requires rendering/protection from moisture and pests, very thick walls</t>
  </si>
  <si>
    <t xml:space="preserve">M19</t>
  </si>
  <si>
    <t xml:space="preserve">Corrugated GI sheet (roofing)</t>
  </si>
  <si>
    <t xml:space="preserve">High (galvanized)</t>
  </si>
  <si>
    <t xml:space="preserve">Cheap, widely available, fast roofing solution</t>
  </si>
  <si>
    <t xml:space="preserve">High conductivity causes overheating in sun and rapid heat loss at night without insulation</t>
  </si>
  <si>
    <t xml:space="preserve">M20</t>
  </si>
  <si>
    <t xml:space="preserve">High-density fiberglass batt (cold-grade)</t>
  </si>
  <si>
    <t xml:space="preserve">Denser batt gives improved R-value per thickness vs standard fiberglass</t>
  </si>
  <si>
    <t xml:space="preserve">Same general moisture sensitivity as other batt insulations</t>
  </si>
  <si>
    <t xml:space="preserve">Design_ID</t>
  </si>
  <si>
    <t xml:space="preserve">Climate_Archetype</t>
  </si>
  <si>
    <t xml:space="preserve">Shelter_Length_m</t>
  </si>
  <si>
    <t xml:space="preserve">Shelter_Width_m</t>
  </si>
  <si>
    <t xml:space="preserve">Shelter_Height_m</t>
  </si>
  <si>
    <t xml:space="preserve">Floor_Area_m2</t>
  </si>
  <si>
    <t xml:space="preserve">Volume_m3</t>
  </si>
  <si>
    <t xml:space="preserve">Orientation</t>
  </si>
  <si>
    <t xml:space="preserve">Wall_Material_ID</t>
  </si>
  <si>
    <t xml:space="preserve">Roof_Material_ID</t>
  </si>
  <si>
    <t xml:space="preserve">Floor_Material_ID</t>
  </si>
  <si>
    <t xml:space="preserve">Insulation_Material_ID</t>
  </si>
  <si>
    <t xml:space="preserve">Wall_Thickness_mm</t>
  </si>
  <si>
    <t xml:space="preserve">Roof_Thickness_mm</t>
  </si>
  <si>
    <t xml:space="preserve">Insulation_Thickness_mm</t>
  </si>
  <si>
    <t xml:space="preserve">Window_Opening_Area_m2</t>
  </si>
  <si>
    <t xml:space="preserve">Gross_Wall_Area_m2</t>
  </si>
  <si>
    <t xml:space="preserve">Net_Wall_Area_m2</t>
  </si>
  <si>
    <t xml:space="preserve">Opening_to_Wall_Ratio</t>
  </si>
  <si>
    <t xml:space="preserve">Ventilation_Type</t>
  </si>
  <si>
    <t xml:space="preserve">Number_of_Openings</t>
  </si>
  <si>
    <t xml:space="preserve">Shading_Type</t>
  </si>
  <si>
    <t xml:space="preserve">Roof_Type</t>
  </si>
  <si>
    <t xml:space="preserve">Roof_Reflectivity_Albedo</t>
  </si>
  <si>
    <t xml:space="preserve">Number_of_Occupants</t>
  </si>
  <si>
    <t xml:space="preserve">Activity_Level</t>
  </si>
  <si>
    <t xml:space="preserve">Clothing_Level_clo</t>
  </si>
  <si>
    <t xml:space="preserve">Shelter_Usage_Duration_hrs</t>
  </si>
  <si>
    <t xml:space="preserve">D01</t>
  </si>
  <si>
    <t xml:space="preserve">Cold / high-altitude</t>
  </si>
  <si>
    <t xml:space="preserve">South-facing (maximise winter solar gain)</t>
  </si>
  <si>
    <t xml:space="preserve">Minimal / sealed (winter-optimised)</t>
  </si>
  <si>
    <t xml:space="preserve">None (maximise solar gain)</t>
  </si>
  <si>
    <t xml:space="preserve">Insulated flat/low-slope</t>
  </si>
  <si>
    <t xml:space="preserve">Resting / sleeping</t>
  </si>
  <si>
    <t xml:space="preserve">SYNTHETIC - prototype design configurations chosen by the team to span each climate archetype; not measurements of an existing built structure.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</si>
  <si>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</si>
  <si>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</si>
  <si>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</si>
  <si>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</si>
  <si>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</si>
  <si>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</si>
  <si>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</si>
  <si>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</si>
  <si>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Hot-dry</t>
  </si>
  <si>
    <t xml:space="preserve">North-South long axis (minimise east/west solar wall exposure)</t>
  </si>
  <si>
    <t xml:space="preserve">None</t>
  </si>
  <si>
    <t xml:space="preserve">Night ventilation, sealed by day</t>
  </si>
  <si>
    <t xml:space="preserve">Overhangs / verandah shading</t>
  </si>
  <si>
    <t xml:space="preserve">Reflective sloped</t>
  </si>
  <si>
    <t xml:space="preserve">Light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</si>
  <si>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</si>
  <si>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</si>
  <si>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</si>
  <si>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</si>
  <si>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</si>
  <si>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</si>
  <si>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</si>
  <si>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</si>
  <si>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Hot-humid</t>
  </si>
  <si>
    <t xml:space="preserve">Perpendicular to prevailing wind (cross-ventilation)</t>
  </si>
  <si>
    <t xml:space="preserve">Cross-ventilation, louvered openings (Medium-high)</t>
  </si>
  <si>
    <t xml:space="preserve">Deep eaves / verandah</t>
  </si>
  <si>
    <t xml:space="preserve">Elevated / ventilated reflective</t>
  </si>
  <si>
    <t xml:space="preserve">D18</t>
  </si>
  <si>
    <t xml:space="preserve">D19</t>
  </si>
  <si>
    <t xml:space="preserve">Cross-ventilation, louvered openings (High)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</si>
  <si>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</si>
  <si>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</si>
  <si>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</si>
  <si>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</si>
  <si>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</si>
  <si>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</si>
  <si>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Temperate</t>
  </si>
  <si>
    <t xml:space="preserve">South-preferred (moderate priority)</t>
  </si>
  <si>
    <t xml:space="preserve">Moderate, operable windows</t>
  </si>
  <si>
    <t xml:space="preserve">Partial (seasonal)</t>
  </si>
  <si>
    <t xml:space="preserve">Insulated pitched</t>
  </si>
  <si>
    <t xml:space="preserve">Light-moderate</t>
  </si>
  <si>
    <t xml:space="preserve">D26</t>
  </si>
  <si>
    <t xml:space="preserve">D27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</si>
  <si>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</si>
  <si>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</si>
  <si>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</si>
  <si>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</si>
  <si>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</si>
  <si>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</si>
  <si>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Emergency / temporary</t>
  </si>
  <si>
    <t xml:space="preserve">Variable (rapid deployment, orientation not always controllable)</t>
  </si>
  <si>
    <t xml:space="preserve">Flap / vent openings</t>
  </si>
  <si>
    <t xml:space="preserve">None / minimal (temporary deployment)</t>
  </si>
  <si>
    <t xml:space="preserve">Fabric / lightweight</t>
  </si>
  <si>
    <t xml:space="preserve">D34</t>
  </si>
  <si>
    <t xml:space="preserve">D35</t>
  </si>
  <si>
    <t xml:space="preserve">D36</t>
  </si>
  <si>
    <t xml:space="preserve">D37</t>
  </si>
  <si>
    <t xml:space="preserve">M03+M12</t>
  </si>
  <si>
    <t xml:space="preserve">D38</t>
  </si>
  <si>
    <t xml:space="preserve">D39</t>
  </si>
  <si>
    <t xml:space="preserve">D40</t>
  </si>
  <si>
    <t xml:space="preserve">Scenario_ID</t>
  </si>
  <si>
    <t xml:space="preserve">Match_Type</t>
  </si>
  <si>
    <t xml:space="preserve">Wall_k_WmK</t>
  </si>
  <si>
    <t xml:space="preserve">Insulation_k_WmK</t>
  </si>
  <si>
    <t xml:space="preserve">Wall_R_m2KW</t>
  </si>
  <si>
    <t xml:space="preserve">Insulation_R_m2KW</t>
  </si>
  <si>
    <t xml:space="preserve">Air_Film_R_m2KW</t>
  </si>
  <si>
    <t xml:space="preserve">Total_R_m2KW</t>
  </si>
  <si>
    <t xml:space="preserve">U_value_Wm2K</t>
  </si>
  <si>
    <t xml:space="preserve">S001</t>
  </si>
  <si>
    <t xml:space="preserve">Matched</t>
  </si>
  <si>
    <t xml:space="preserve">SYNTHETIC - scenario built by pairing a prototype shelter design with representative monthly climatology; not a record of a real, physically deployed shelter.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</si>
  <si>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</si>
  <si>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</si>
  <si>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</si>
  <si>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</si>
  <si>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</si>
  <si>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</si>
  <si>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</si>
  <si>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</si>
  <si>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</si>
  <si>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</si>
  <si>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</si>
  <si>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</si>
  <si>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</si>
  <si>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</si>
  <si>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</si>
  <si>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</si>
  <si>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</si>
  <si>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</si>
  <si>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</si>
  <si>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</si>
  <si>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</si>
  <si>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</si>
  <si>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</si>
  <si>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</si>
  <si>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</si>
  <si>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</si>
  <si>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</si>
  <si>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</si>
  <si>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</si>
  <si>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</si>
  <si>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</si>
  <si>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</si>
  <si>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</si>
  <si>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</si>
  <si>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</si>
  <si>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</si>
  <si>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</si>
  <si>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</si>
  <si>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</si>
  <si>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</si>
  <si>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</si>
  <si>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</si>
  <si>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</si>
  <si>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</si>
  <si>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</si>
  <si>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</si>
  <si>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</si>
  <si>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</si>
  <si>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</si>
  <si>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</si>
  <si>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</si>
  <si>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</si>
  <si>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</si>
  <si>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</si>
  <si>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</si>
  <si>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</si>
  <si>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</si>
  <si>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</si>
  <si>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</si>
  <si>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</si>
  <si>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</si>
  <si>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</si>
  <si>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</si>
  <si>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</si>
  <si>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</si>
  <si>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</si>
  <si>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</si>
  <si>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</si>
  <si>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</si>
  <si>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</si>
  <si>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</si>
  <si>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</si>
  <si>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</si>
  <si>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</si>
  <si>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</si>
  <si>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</si>
  <si>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</si>
  <si>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</si>
  <si>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</si>
  <si>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</si>
  <si>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</si>
  <si>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</si>
  <si>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</si>
  <si>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</si>
  <si>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</si>
  <si>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</si>
  <si>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</si>
  <si>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</si>
  <si>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</si>
  <si>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</si>
  <si>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</si>
  <si>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</si>
  <si>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</si>
  <si>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</si>
  <si>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</si>
  <si>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</si>
  <si>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</si>
  <si>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</si>
  <si>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</si>
  <si>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</si>
  <si>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</si>
  <si>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</si>
  <si>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</si>
  <si>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</si>
  <si>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</si>
  <si>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</si>
  <si>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</si>
  <si>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</si>
  <si>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</si>
  <si>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</si>
  <si>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</si>
  <si>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</si>
  <si>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</si>
  <si>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</si>
  <si>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</si>
  <si>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</si>
  <si>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</si>
  <si>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</si>
  <si>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</si>
  <si>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</si>
  <si>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</si>
  <si>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</si>
  <si>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</si>
  <si>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</si>
  <si>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</si>
  <si>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</si>
  <si>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</si>
  <si>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</si>
  <si>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</si>
  <si>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</si>
  <si>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S132</t>
  </si>
  <si>
    <t xml:space="preserve">S133</t>
  </si>
  <si>
    <t xml:space="preserve">S134</t>
  </si>
  <si>
    <t xml:space="preserve">S135</t>
  </si>
  <si>
    <t xml:space="preserve">S136</t>
  </si>
  <si>
    <t xml:space="preserve">S137</t>
  </si>
  <si>
    <t xml:space="preserve">S138</t>
  </si>
  <si>
    <t xml:space="preserve">S139</t>
  </si>
  <si>
    <t xml:space="preserve">S140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</si>
  <si>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</si>
  <si>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</si>
  <si>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</si>
  <si>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</si>
  <si>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</si>
  <si>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S146</t>
  </si>
  <si>
    <t xml:space="preserve">S147</t>
  </si>
  <si>
    <t xml:space="preserve">S148</t>
  </si>
  <si>
    <t xml:space="preserve">S149</t>
  </si>
  <si>
    <t xml:space="preserve">S150</t>
  </si>
  <si>
    <t xml:space="preserve">S151</t>
  </si>
  <si>
    <t xml:space="preserve">S152</t>
  </si>
  <si>
    <t xml:space="preserve">S153</t>
  </si>
  <si>
    <t xml:space="preserve">S154</t>
  </si>
  <si>
    <t xml:space="preserve">S155</t>
  </si>
  <si>
    <t xml:space="preserve">S156</t>
  </si>
  <si>
    <t xml:space="preserve">S157</t>
  </si>
  <si>
    <t xml:space="preserve">S158</t>
  </si>
  <si>
    <t xml:space="preserve">S159</t>
  </si>
  <si>
    <t xml:space="preserve">S160</t>
  </si>
  <si>
    <t xml:space="preserve">S161</t>
  </si>
  <si>
    <t xml:space="preserve">S162</t>
  </si>
  <si>
    <t xml:space="preserve">S163</t>
  </si>
  <si>
    <t xml:space="preserve">S164</t>
  </si>
  <si>
    <t xml:space="preserve">S165</t>
  </si>
  <si>
    <t xml:space="preserve">S166</t>
  </si>
  <si>
    <t xml:space="preserve">S167</t>
  </si>
  <si>
    <t xml:space="preserve">S168</t>
  </si>
  <si>
    <t xml:space="preserve">S169</t>
  </si>
  <si>
    <t xml:space="preserve">S170</t>
  </si>
  <si>
    <t xml:space="preserve">S171</t>
  </si>
  <si>
    <t xml:space="preserve">S172</t>
  </si>
  <si>
    <t xml:space="preserve">S173</t>
  </si>
  <si>
    <t xml:space="preserve">S174</t>
  </si>
  <si>
    <t xml:space="preserve">S175</t>
  </si>
  <si>
    <t xml:space="preserve">S176</t>
  </si>
  <si>
    <t xml:space="preserve">S177</t>
  </si>
  <si>
    <t xml:space="preserve">S178</t>
  </si>
  <si>
    <t xml:space="preserve">S179</t>
  </si>
  <si>
    <t xml:space="preserve">S180</t>
  </si>
  <si>
    <t xml:space="preserve">S181</t>
  </si>
  <si>
    <t xml:space="preserve">S182</t>
  </si>
  <si>
    <t xml:space="preserve">S183</t>
  </si>
  <si>
    <t xml:space="preserve">S184</t>
  </si>
  <si>
    <t xml:space="preserve">S185</t>
  </si>
  <si>
    <t xml:space="preserve">S186</t>
  </si>
  <si>
    <t xml:space="preserve">S187</t>
  </si>
  <si>
    <t xml:space="preserve">S188</t>
  </si>
  <si>
    <t xml:space="preserve">S189</t>
  </si>
  <si>
    <t xml:space="preserve">S190</t>
  </si>
  <si>
    <t xml:space="preserve">S191</t>
  </si>
  <si>
    <t xml:space="preserve">S192</t>
  </si>
  <si>
    <t xml:space="preserve">S193</t>
  </si>
  <si>
    <t xml:space="preserve">S194</t>
  </si>
  <si>
    <t xml:space="preserve">S195</t>
  </si>
  <si>
    <t xml:space="preserve">S196</t>
  </si>
  <si>
    <t xml:space="preserve">S197</t>
  </si>
  <si>
    <t xml:space="preserve">S198</t>
  </si>
  <si>
    <t xml:space="preserve">S199</t>
  </si>
  <si>
    <t xml:space="preserve">S200</t>
  </si>
  <si>
    <t xml:space="preserve">S201</t>
  </si>
  <si>
    <t xml:space="preserve">S202</t>
  </si>
  <si>
    <t xml:space="preserve">S203</t>
  </si>
  <si>
    <t xml:space="preserve">S204</t>
  </si>
  <si>
    <t xml:space="preserve">S205</t>
  </si>
  <si>
    <t xml:space="preserve">S206</t>
  </si>
  <si>
    <t xml:space="preserve">S207</t>
  </si>
  <si>
    <t xml:space="preserve">S208</t>
  </si>
  <si>
    <t xml:space="preserve">S209</t>
  </si>
  <si>
    <t xml:space="preserve">Mismatched (stress test)</t>
  </si>
  <si>
    <t xml:space="preserve">S210</t>
  </si>
  <si>
    <t xml:space="preserve">S211</t>
  </si>
  <si>
    <t xml:space="preserve">S212</t>
  </si>
  <si>
    <t xml:space="preserve">S213</t>
  </si>
  <si>
    <t xml:space="preserve">S214</t>
  </si>
  <si>
    <t xml:space="preserve">S215</t>
  </si>
  <si>
    <t xml:space="preserve">S216</t>
  </si>
  <si>
    <t xml:space="preserve">S217</t>
  </si>
  <si>
    <t xml:space="preserve">S218</t>
  </si>
  <si>
    <t xml:space="preserve">S219</t>
  </si>
  <si>
    <t xml:space="preserve">S220</t>
  </si>
  <si>
    <t xml:space="preserve">S221</t>
  </si>
  <si>
    <t xml:space="preserve">S222</t>
  </si>
  <si>
    <t xml:space="preserve">S223</t>
  </si>
  <si>
    <t xml:space="preserve">S224</t>
  </si>
  <si>
    <t xml:space="preserve">S225</t>
  </si>
  <si>
    <t xml:space="preserve">S226</t>
  </si>
  <si>
    <t xml:space="preserve">S227</t>
  </si>
  <si>
    <t xml:space="preserve">S228</t>
  </si>
  <si>
    <t xml:space="preserve">Estimated_ACH</t>
  </si>
  <si>
    <t xml:space="preserve">Ventilation_Loss_Coefficient_WK</t>
  </si>
  <si>
    <t xml:space="preserve">Conductive_Loss_Coefficient_WK</t>
  </si>
  <si>
    <t xml:space="preserve">Total_Loss_Coefficient_WK</t>
  </si>
  <si>
    <t xml:space="preserve">Effective_Solar_Aperture_m2</t>
  </si>
  <si>
    <t xml:space="preserve">Estimated_Heat_Gain_W</t>
  </si>
  <si>
    <t xml:space="preserve">Estimated_Indoor_Temperature_C</t>
  </si>
  <si>
    <t xml:space="preserve">Indoor_Outdoor_Temp_Difference_C</t>
  </si>
  <si>
    <t xml:space="preserve">Estimated_Heat_Loss_W</t>
  </si>
  <si>
    <t xml:space="preserve">Adaptive_Comfort_Neutral_Temp_C</t>
  </si>
  <si>
    <t xml:space="preserve">Adaptive_Comfort_Deviation_C</t>
  </si>
  <si>
    <t xml:space="preserve">Comfort_Band_Status</t>
  </si>
  <si>
    <t xml:space="preserve">Comfort_Score_0to100</t>
  </si>
  <si>
    <t xml:space="preserve">PMV_Approximate_LowConfidence</t>
  </si>
  <si>
    <t xml:space="preserve">PPD_Approximate_pct_LowConfidence</t>
  </si>
  <si>
    <t xml:space="preserve">Estimated_Heating_Requirement_W</t>
  </si>
  <si>
    <t xml:space="preserve">Estimated_Cooling_Requirement_W</t>
  </si>
  <si>
    <t xml:space="preserve">Energy_Requirement_W</t>
  </si>
  <si>
    <t xml:space="preserve">Thermal_Performance_Score_0to100</t>
  </si>
  <si>
    <t xml:space="preserve">Overall_Shelter_Suitability_Score_0to100</t>
  </si>
  <si>
    <t xml:space="preserve">Recommended_Status</t>
  </si>
  <si>
    <t xml:space="preserve">Primary_Recommendation_Reason</t>
  </si>
  <si>
    <t xml:space="preserve">SYNTHETIC/ESTIMATED - computed via a simplified steady-state heat-balance approximation (single-node lumped model) for prototype purposes. This is NOT an ANSYS/CFD simulation result. Must be replaced or validated with proper thermal simulation, ANSYS modelling, or physical testing before final submission.</t>
  </si>
  <si>
    <t xml:space="preserve">Column_Name</t>
  </si>
  <si>
    <t xml:space="preserve">Sheet</t>
  </si>
  <si>
    <t xml:space="preserve">Meaning</t>
  </si>
  <si>
    <t xml:space="preserve">Unit</t>
  </si>
  <si>
    <t xml:space="preserve">Data_Type</t>
  </si>
  <si>
    <t xml:space="preserve">Possible_Range</t>
  </si>
  <si>
    <t xml:space="preserve">Source_Type</t>
  </si>
  <si>
    <t xml:space="preserve">Real_or_Synthetic</t>
  </si>
  <si>
    <t xml:space="preserve">Why_it_Matters_for_PS51</t>
  </si>
  <si>
    <t xml:space="preserve">Weather_Data</t>
  </si>
  <si>
    <t xml:space="preserve">Name of the representative Indian climate location</t>
  </si>
  <si>
    <t xml:space="preserve">-</t>
  </si>
  <si>
    <t xml:space="preserve">Text</t>
  </si>
  <si>
    <t xml:space="preserve">6 fixed locations</t>
  </si>
  <si>
    <t xml:space="preserve">Team-selected</t>
  </si>
  <si>
    <t xml:space="preserve">Synthetic (location set is real, data attached to it is not)</t>
  </si>
  <si>
    <t xml:space="preserve">Anchors the climate-zone-adaptable requirement in the PS</t>
  </si>
  <si>
    <t xml:space="preserve">Latitude/Longitude</t>
  </si>
  <si>
    <t xml:space="preserve">Geographic coordinates of the location</t>
  </si>
  <si>
    <t xml:space="preserve">degrees</t>
  </si>
  <si>
    <t xml:space="preserve">Numeric</t>
  </si>
  <si>
    <t xml:space="preserve">6.8-34.2 (India)</t>
  </si>
  <si>
    <t xml:space="preserve">Real (public geographic fact)</t>
  </si>
  <si>
    <t xml:space="preserve">Real</t>
  </si>
  <si>
    <t xml:space="preserve">Needed to query real NASA POWER/IMD data later</t>
  </si>
  <si>
    <t xml:space="preserve">Approximate elevation above sea level</t>
  </si>
  <si>
    <t xml:space="preserve">m</t>
  </si>
  <si>
    <t xml:space="preserve">6-3500</t>
  </si>
  <si>
    <t xml:space="preserve">Drives atmospheric pressure and explains Leh's thin-air, high-solar profile</t>
  </si>
  <si>
    <t xml:space="preserve">Broad climate classification of the location</t>
  </si>
  <si>
    <t xml:space="preserve">6 categories</t>
  </si>
  <si>
    <t xml:space="preserve">Team-assigned label</t>
  </si>
  <si>
    <t xml:space="preserve">Synthetic label</t>
  </si>
  <si>
    <t xml:space="preserve">Used to match shelter designs to climate archetypes</t>
  </si>
  <si>
    <t xml:space="preserve">Month / Month_Number / Season</t>
  </si>
  <si>
    <t xml:space="preserve">Calendar month and season grouping</t>
  </si>
  <si>
    <t xml:space="preserve">Text/Int</t>
  </si>
  <si>
    <t xml:space="preserve">Jan-Dec / 1-12</t>
  </si>
  <si>
    <t xml:space="preserve">Calendar fact</t>
  </si>
  <si>
    <t xml:space="preserve">Drives seasonal variation in the model</t>
  </si>
  <si>
    <t xml:space="preserve">Nominal mid-month date used only for row labelling</t>
  </si>
  <si>
    <t xml:space="preserve">date</t>
  </si>
  <si>
    <t xml:space="preserve">Date</t>
  </si>
  <si>
    <t xml:space="preserve">2024-01-15 etc.</t>
  </si>
  <si>
    <t xml:space="preserve">Team-assigned, NOT observed</t>
  </si>
  <si>
    <t xml:space="preserve">Synthetic</t>
  </si>
  <si>
    <t xml:space="preserve">Not to be read as an actual observation date</t>
  </si>
  <si>
    <t xml:space="preserve">Lookup key = Location &amp; Month, used by formulas in other sheets</t>
  </si>
  <si>
    <t xml:space="preserve">Formula (text)</t>
  </si>
  <si>
    <t xml:space="preserve">Derived</t>
  </si>
  <si>
    <t xml:space="preserve">Synthetic (derived)</t>
  </si>
  <si>
    <t xml:space="preserve">Enables the workbook's live cross-sheet lookups</t>
  </si>
  <si>
    <t xml:space="preserve">Representative monthly mean outdoor air temperature</t>
  </si>
  <si>
    <t xml:space="preserve">deg C</t>
  </si>
  <si>
    <t xml:space="preserve">-15 to 38</t>
  </si>
  <si>
    <t xml:space="preserve">Illustrative, based on general published climate character</t>
  </si>
  <si>
    <t xml:space="preserve">SYNTHETIC - validate against IMD normals</t>
  </si>
  <si>
    <t xml:space="preserve">Primary driver of heat loss/gain in the model</t>
  </si>
  <si>
    <t xml:space="preserve">Representative monthly mean relative humidity</t>
  </si>
  <si>
    <t xml:space="preserve">%</t>
  </si>
  <si>
    <t xml:space="preserve">20-88</t>
  </si>
  <si>
    <t xml:space="preserve">Illustrative</t>
  </si>
  <si>
    <t xml:space="preserve">SYNTHETIC - validate against IMD/NASA POWER</t>
  </si>
  <si>
    <t xml:space="preserve">Affects comfort perception and material moisture risk</t>
  </si>
  <si>
    <t xml:space="preserve">Wind_Speed_ms / Wind_Direction</t>
  </si>
  <si>
    <t xml:space="preserve">Representative monthly mean wind speed and dominant direction</t>
  </si>
  <si>
    <t xml:space="preserve">m/s / compass</t>
  </si>
  <si>
    <t xml:space="preserve">Numeric/Text</t>
  </si>
  <si>
    <t xml:space="preserve">1-5 / 8 compass points</t>
  </si>
  <si>
    <t xml:space="preserve">SYNTHETIC - validate against IMD</t>
  </si>
  <si>
    <t xml:space="preserve">Affects convective heat loss and ventilation design</t>
  </si>
  <si>
    <t xml:space="preserve">Representative average daily solar resource</t>
  </si>
  <si>
    <t xml:space="preserve">kWh/m2/day</t>
  </si>
  <si>
    <t xml:space="preserve">2.3-7.2</t>
  </si>
  <si>
    <t xml:space="preserve">Illustrative, consistent with known India solar-resource geography</t>
  </si>
  <si>
    <t xml:space="preserve">SYNTHETIC - validate against NASA POWER</t>
  </si>
  <si>
    <t xml:space="preserve">Core driver of passive solar heat gain, the PS's central mechanism</t>
  </si>
  <si>
    <t xml:space="preserve">Solar_kWh_m2_day converted to a daily-average W/m2 figure</t>
  </si>
  <si>
    <t xml:space="preserve">W/m2</t>
  </si>
  <si>
    <t xml:space="preserve">Formula</t>
  </si>
  <si>
    <t xml:space="preserve">95-300</t>
  </si>
  <si>
    <t xml:space="preserve">Derived from Solar_kWh_m2_day</t>
  </si>
  <si>
    <t xml:space="preserve">Synthetic (derived, formula-consistent)</t>
  </si>
  <si>
    <t xml:space="preserve">Matches the unit named in the PS's own output requirement</t>
  </si>
  <si>
    <t xml:space="preserve">Representative monthly rainfall</t>
  </si>
  <si>
    <t xml:space="preserve">mm</t>
  </si>
  <si>
    <t xml:space="preserve">2-350</t>
  </si>
  <si>
    <t xml:space="preserve">Illustrative, reflects known monsoon geography</t>
  </si>
  <si>
    <t xml:space="preserve">Context for moisture-resistance material choice</t>
  </si>
  <si>
    <t xml:space="preserve">Estimated via the standard barometric formula from elevation, plus a small seasonal adjustment</t>
  </si>
  <si>
    <t xml:space="preserve">hPa</t>
  </si>
  <si>
    <t xml:space="preserve">640-1010</t>
  </si>
  <si>
    <t xml:space="preserve">Standard barometric formula (real physics)</t>
  </si>
  <si>
    <t xml:space="preserve">Synthetic (formula-derived, physically grounded)</t>
  </si>
  <si>
    <t xml:space="preserve">Minor input; included for completeness of the environmental input set</t>
  </si>
  <si>
    <t xml:space="preserve">Material_ID / Material_Name / Material_Category</t>
  </si>
  <si>
    <t xml:space="preserve">Material_Properties</t>
  </si>
  <si>
    <t xml:space="preserve">Identifier and classification of each candidate construction material</t>
  </si>
  <si>
    <t xml:space="preserve">M01-M20</t>
  </si>
  <si>
    <t xml:space="preserve">Team-curated list</t>
  </si>
  <si>
    <t xml:space="preserve">Reference (material set is real; some property values are typical/illustrative)</t>
  </si>
  <si>
    <t xml:space="preserve">Defines the material search space the design tool draws from</t>
  </si>
  <si>
    <t xml:space="preserve">How readily the material conducts heat (lower = better insulator)</t>
  </si>
  <si>
    <t xml:space="preserve">W/(m.K)</t>
  </si>
  <si>
    <t xml:space="preserve">0.022-205</t>
  </si>
  <si>
    <t xml:space="preserve">Standard engineering-literature-level typical value</t>
  </si>
  <si>
    <t xml:space="preserve">SYNTHETIC/REFERENCE - validate against datasheet</t>
  </si>
  <si>
    <t xml:space="preserve">Directly determines the material's R-value and the shelter's U-value</t>
  </si>
  <si>
    <t xml:space="preserve">Density_kgm3 / Specific_Heat_JkgK</t>
  </si>
  <si>
    <t xml:space="preserve">Mass per volume and heat capacity per unit mass</t>
  </si>
  <si>
    <t xml:space="preserve">kg/m3, J/(kg.K)</t>
  </si>
  <si>
    <t xml:space="preserve">15-7850 / 480-2000</t>
  </si>
  <si>
    <t xml:space="preserve">Together define thermal mass, which smooths day-night temperature swings</t>
  </si>
  <si>
    <t xml:space="preserve">How effectively the surface radiates/absorbs long-wave heat</t>
  </si>
  <si>
    <t xml:space="preserve">0-1</t>
  </si>
  <si>
    <t xml:space="preserve">0.05-0.93</t>
  </si>
  <si>
    <t xml:space="preserve">SYNTHETIC/REFERENCE</t>
  </si>
  <si>
    <t xml:space="preserve">Affects night-time radiative heat loss, important for Ladakh's clear-sky nights</t>
  </si>
  <si>
    <t xml:space="preserve">Thickness_Min/Max/Mid_mm</t>
  </si>
  <si>
    <t xml:space="preserve">Typical usable thickness range for the material, and its midpoint</t>
  </si>
  <si>
    <t xml:space="preserve">Numeric/Formula</t>
  </si>
  <si>
    <t xml:space="preserve">0.3-450</t>
  </si>
  <si>
    <t xml:space="preserve">Team-assigned typical range</t>
  </si>
  <si>
    <t xml:space="preserve">Synthetic (range); Mid is a formula</t>
  </si>
  <si>
    <t xml:space="preserve">Sets the basis for computing R-value per row</t>
  </si>
  <si>
    <t xml:space="preserve">Insulating value at the assumed mid-thickness (thickness / k)</t>
  </si>
  <si>
    <t xml:space="preserve">m2.K/W</t>
  </si>
  <si>
    <t xml:space="preserve">0.00006-3.3</t>
  </si>
  <si>
    <t xml:space="preserve">Core insulation metric used throughout the downstream heat-balance calculation</t>
  </si>
  <si>
    <t xml:space="preserve">Moisture_Resistance / Durability / Approximate_Relative_Cost</t>
  </si>
  <si>
    <t xml:space="preserve">Qualitative ratings for practical selection</t>
  </si>
  <si>
    <t xml:space="preserve">Text (Low/Medium/High)</t>
  </si>
  <si>
    <t xml:space="preserve">Team judgement based on known material behaviour</t>
  </si>
  <si>
    <t xml:space="preserve">Synthetic qualitative rating</t>
  </si>
  <si>
    <t xml:space="preserve">Helps the recommendation logic and human decision-making, not just raw physics</t>
  </si>
  <si>
    <t xml:space="preserve">Light/Medium/Heavy, derived automatically from density</t>
  </si>
  <si>
    <t xml:space="preserve">Flags materials impractical for remote/high-altitude transport</t>
  </si>
  <si>
    <t xml:space="preserve">Suitability_Cold/HotDry/HotHumid/Temporary</t>
  </si>
  <si>
    <t xml:space="preserve">Team's qualitative fit rating of the material for each climate/use case</t>
  </si>
  <si>
    <t xml:space="preserve">Text (Yes/Partial/No)</t>
  </si>
  <si>
    <t xml:space="preserve">Team judgement</t>
  </si>
  <si>
    <t xml:space="preserve">Used to justify material choices per climate archetype</t>
  </si>
  <si>
    <t xml:space="preserve">Advantages / Limitations</t>
  </si>
  <si>
    <t xml:space="preserve">Short free-text notes on the material's practical pros/cons</t>
  </si>
  <si>
    <t xml:space="preserve">Team-authored, general engineering knowledge</t>
  </si>
  <si>
    <t xml:space="preserve">Synthetic text</t>
  </si>
  <si>
    <t xml:space="preserve">Supports the PPT's material-justification narrative</t>
  </si>
  <si>
    <t xml:space="preserve">Design_ID / Climate_Archetype</t>
  </si>
  <si>
    <t xml:space="preserve">Shelter_Design</t>
  </si>
  <si>
    <t xml:space="preserve">Identifier and climate category of a shelter design configuration</t>
  </si>
  <si>
    <t xml:space="preserve">D01-D40 / 5 archetypes</t>
  </si>
  <si>
    <t xml:space="preserve">Team-designed</t>
  </si>
  <si>
    <t xml:space="preserve">Synthetic (prototype design choice)</t>
  </si>
  <si>
    <t xml:space="preserve">Represents the design search space the tool evaluates</t>
  </si>
  <si>
    <t xml:space="preserve">Shelter_Length/Width/Height_m</t>
  </si>
  <si>
    <t xml:space="preserve">Exterior dimensions of the shelter</t>
  </si>
  <si>
    <t xml:space="preserve">2.2-5.0</t>
  </si>
  <si>
    <t xml:space="preserve">Team-assigned, plausible field-shelter scale</t>
  </si>
  <si>
    <t xml:space="preserve">Basic geometry driving area/volume for the heat balance</t>
  </si>
  <si>
    <t xml:space="preserve">Floor_Area_m2 / Volume_m3</t>
  </si>
  <si>
    <t xml:space="preserve">Floor area and enclosed volume</t>
  </si>
  <si>
    <t xml:space="preserve">m2 / m3</t>
  </si>
  <si>
    <t xml:space="preserve">9-24 / 20-45</t>
  </si>
  <si>
    <t xml:space="preserve">Volume drives ventilation heat loss; area drives conduction</t>
  </si>
  <si>
    <t xml:space="preserve">Shelter's facing direction relative to the sun/wind</t>
  </si>
  <si>
    <t xml:space="preserve">Team judgement, consistent with passive-solar principles</t>
  </si>
  <si>
    <t xml:space="preserve">Encodes the passive-design strategy behind each archetype</t>
  </si>
  <si>
    <t xml:space="preserve">Wall/Roof/Floor/Insulation_Material_ID</t>
  </si>
  <si>
    <t xml:space="preserve">Which Material_Properties row is used for each shelter surface</t>
  </si>
  <si>
    <t xml:space="preserve">Text (Material_ID)</t>
  </si>
  <si>
    <t xml:space="preserve">M01-M20 or None</t>
  </si>
  <si>
    <t xml:space="preserve">Team-assigned</t>
  </si>
  <si>
    <t xml:space="preserve">Synthetic (design choice)</t>
  </si>
  <si>
    <t xml:space="preserve">Links the geometry sheet to the material properties sheet</t>
  </si>
  <si>
    <t xml:space="preserve">Wall/Roof/Insulation_Thickness_mm</t>
  </si>
  <si>
    <t xml:space="preserve">Assumed built thickness of each layer</t>
  </si>
  <si>
    <t xml:space="preserve">1-450</t>
  </si>
  <si>
    <t xml:space="preserve">Team-assigned, within the material's typical range</t>
  </si>
  <si>
    <t xml:space="preserve">Feeds directly into the U-value calculation</t>
  </si>
  <si>
    <t xml:space="preserve">Total glazed/open area for daylight, ventilation and/or solar gain</t>
  </si>
  <si>
    <t xml:space="preserve">m2</t>
  </si>
  <si>
    <t xml:space="preserve">1.0-3.5</t>
  </si>
  <si>
    <t xml:space="preserve">Main driver of both solar heat gain and ventilation loss</t>
  </si>
  <si>
    <t xml:space="preserve">Gross/Net_Wall_Area_m2 / Opening_to_Wall_Ratio</t>
  </si>
  <si>
    <t xml:space="preserve">Wall area before/after subtracting openings, and the opening fraction</t>
  </si>
  <si>
    <t xml:space="preserve">m2 / ratio</t>
  </si>
  <si>
    <t xml:space="preserve">Used throughout the heat-balance calculation</t>
  </si>
  <si>
    <t xml:space="preserve">Ventilation_Type / Number_of_Openings / Shading_Type / Roof_Type / Roof_Reflectivity_Albedo</t>
  </si>
  <si>
    <t xml:space="preserve">Qualitative and numeric ventilation/shading/roof design choices</t>
  </si>
  <si>
    <t xml:space="preserve">Text/Numeric</t>
  </si>
  <si>
    <t xml:space="preserve">Albedo 0.2-0.65</t>
  </si>
  <si>
    <t xml:space="preserve">Team judgement, consistent with passive-design literature</t>
  </si>
  <si>
    <t xml:space="preserve">Represent the passive design levers a real team would tune</t>
  </si>
  <si>
    <t xml:space="preserve">Number_of_Occupants / Activity_Level / Clothing_Level_clo</t>
  </si>
  <si>
    <t xml:space="preserve">Assumed occupancy and comfort-relevant human factors</t>
  </si>
  <si>
    <t xml:space="preserve">1-6 people, 0.5-1.75 clo</t>
  </si>
  <si>
    <t xml:space="preserve">Team-assigned, clo values consistent with standard comfort literature</t>
  </si>
  <si>
    <t xml:space="preserve">Needed for any future full PMV/comfort calculation</t>
  </si>
  <si>
    <t xml:space="preserve">Assumed deployment length (short-term emergency vs long-term)</t>
  </si>
  <si>
    <t xml:space="preserve">hours</t>
  </si>
  <si>
    <t xml:space="preserve">72-2160</t>
  </si>
  <si>
    <t xml:space="preserve">Distinguishes emergency shelters from long-term passive housing</t>
  </si>
  <si>
    <t xml:space="preserve">Scenario_ID / Match_Type</t>
  </si>
  <si>
    <t xml:space="preserve">Combined_Scenarios</t>
  </si>
  <si>
    <t xml:space="preserve">Identifier and whether the design/climate pairing is realistic or a deliberate stress test</t>
  </si>
  <si>
    <t xml:space="preserve">S001-S228</t>
  </si>
  <si>
    <t xml:space="preserve">Team-constructed</t>
  </si>
  <si>
    <t xml:space="preserve">Mismatched rows are negative examples, useful for later ML training</t>
  </si>
  <si>
    <t xml:space="preserve">Location_Month_Key (Combined) / all looked-up weather+design columns</t>
  </si>
  <si>
    <t xml:space="preserve">Weather and design values pulled live from Weather_Data/Shelter_Design via formulas</t>
  </si>
  <si>
    <t xml:space="preserve">Derived via INDEX/MATCH</t>
  </si>
  <si>
    <t xml:space="preserve">Synthetic (derived, always consistent with the source sheets)</t>
  </si>
  <si>
    <t xml:space="preserve">Keeps the whole workbook internally consistent if any input is edited</t>
  </si>
  <si>
    <t xml:space="preserve">Wall_R / Insulation_R / Air_Film_R / Total_R_m2KW</t>
  </si>
  <si>
    <t xml:space="preserve">Layer-by-layer and total thermal resistance of the envelope</t>
  </si>
  <si>
    <t xml:space="preserve">Derived (air film = standard engineering constant 0.17)</t>
  </si>
  <si>
    <t xml:space="preserve">Core of the simplified heat-balance model</t>
  </si>
  <si>
    <t xml:space="preserve">Overall envelope heat-transfer coefficient (1/Total_R)</t>
  </si>
  <si>
    <t xml:space="preserve">W/(m2.K)</t>
  </si>
  <si>
    <t xml:space="preserve">Standard building-physics metric judges will recognise</t>
  </si>
  <si>
    <t xml:space="preserve">Scenario_ID (Output) / all lookup columns</t>
  </si>
  <si>
    <t xml:space="preserve">Output_Benefits</t>
  </si>
  <si>
    <t xml:space="preserve">Mirrors Combined_Scenarios row-for-row so formulas can reference the same row directly</t>
  </si>
  <si>
    <t xml:space="preserve">Keeps outputs traceable back to one exact scenario</t>
  </si>
  <si>
    <t xml:space="preserve">Estimated_ACH / Ventilation_Loss_Coefficient_WK</t>
  </si>
  <si>
    <t xml:space="preserve">Approximate air-changes-per-hour and resulting ventilation heat loss rate</t>
  </si>
  <si>
    <t xml:space="preserve">1/hr, W/K</t>
  </si>
  <si>
    <t xml:space="preserve">Simplified heuristic (ACH scaled from opening ratio)</t>
  </si>
  <si>
    <t xml:space="preserve">SYNTHETIC/ESTIMATED - simplified, not CFD-validated</t>
  </si>
  <si>
    <t xml:space="preserve">Ventilation is a major, often-ignored loss path in lightweight shelters</t>
  </si>
  <si>
    <t xml:space="preserve">Conductive/Total_Loss_Coefficient_WK</t>
  </si>
  <si>
    <t xml:space="preserve">Heat loss rate through the envelope, and combined with ventilation</t>
  </si>
  <si>
    <t xml:space="preserve">W/K</t>
  </si>
  <si>
    <t xml:space="preserve">Derived from U-value and area</t>
  </si>
  <si>
    <t xml:space="preserve">SYNTHETIC/ESTIMATED</t>
  </si>
  <si>
    <t xml:space="preserve">Denominator of the steady-state indoor-temperature estimate</t>
  </si>
  <si>
    <t xml:space="preserve">Effective_Solar_Aperture_m2 / Estimated_Heat_Gain_W</t>
  </si>
  <si>
    <t xml:space="preserve">Simplified effective area capturing solar heat (direct gain through openings only), and resulting gain</t>
  </si>
  <si>
    <t xml:space="preserve">m2 / W</t>
  </si>
  <si>
    <t xml:space="preserve">Simplified heuristic (0.5 transmittance factor through openings; opaque-wall solar absorption/re-radiation is NOT modelled - a real limitation for Trombe-wall-style designs)</t>
  </si>
  <si>
    <t xml:space="preserve">SYNTHETIC/ESTIMATED - simplification, document before final submission</t>
  </si>
  <si>
    <t xml:space="preserve">Represents the passive solar gain mechanism the PS is centred on; team should replace with a proper Trombe-wall heat-transfer model before final submission</t>
  </si>
  <si>
    <t xml:space="preserve">Steady-state equilibrium indoor temperature (heat gain = heat loss)</t>
  </si>
  <si>
    <t xml:space="preserve">Simplified single-node (lumped capacitance) heat balance</t>
  </si>
  <si>
    <t xml:space="preserve">SYNTHETIC/ESTIMATED - NOT an ANSYS/CFD result</t>
  </si>
  <si>
    <t xml:space="preserve">This is the PS's core requested output</t>
  </si>
  <si>
    <t xml:space="preserve">Indoor_Outdoor_Temp_Difference_C / Estimated_Heat_Loss_W</t>
  </si>
  <si>
    <t xml:space="preserve">Resulting temperature gap and heat loss at equilibrium</t>
  </si>
  <si>
    <t xml:space="preserve">deg C / W</t>
  </si>
  <si>
    <t xml:space="preserve">Directly answers the PS's 'heat flow details' requirement</t>
  </si>
  <si>
    <t xml:space="preserve">Neutral comfort temperature per the ASHRAE-55 adaptive comfort formula (0.31*Tout+17.8)</t>
  </si>
  <si>
    <t xml:space="preserve">Real, published formula (de Dear/Brager, ASHRAE RP-884)</t>
  </si>
  <si>
    <t xml:space="preserve">Synthetic application of a real formula to synthetic inputs</t>
  </si>
  <si>
    <t xml:space="preserve">Chosen over PMV because research shows adaptive models fit naturally-ventilated shelters better</t>
  </si>
  <si>
    <t xml:space="preserve">Adaptive_Comfort_Deviation_C / Comfort_Band_Status / Comfort_Score_0to100</t>
  </si>
  <si>
    <t xml:space="preserve">How far predicted indoor temp sits from neutral comfort, and a 0-100 score</t>
  </si>
  <si>
    <t xml:space="preserve">deg C / text / score</t>
  </si>
  <si>
    <t xml:space="preserve">Derived, safe band (12-35C) drawn from shelter-thermal-safety literature</t>
  </si>
  <si>
    <t xml:space="preserve">Primary, more defensible comfort metric for this shelter type</t>
  </si>
  <si>
    <t xml:space="preserve">PMV_Approximate_LowConfidence / PPD_Approximate_pct_LowConfidence</t>
  </si>
  <si>
    <t xml:space="preserve">Rough PMV proxy and its ISO 7730 PPD conversion</t>
  </si>
  <si>
    <t xml:space="preserve">- / %</t>
  </si>
  <si>
    <t xml:space="preserve">-3 to 3 / 5-100%</t>
  </si>
  <si>
    <t xml:space="preserve">Simplified approximation, PPD formula is the real ISO 7730 equation</t>
  </si>
  <si>
    <t xml:space="preserve">SYNTHETIC/ESTIMATED - low confidence, PMV known to underperform here</t>
  </si>
  <si>
    <t xml:space="preserve">Included only because the PS mentions comfort; flagged as secondary, not primary</t>
  </si>
  <si>
    <t xml:space="preserve">Estimated_Heating/Cooling_Requirement_W / Energy_Requirement_W</t>
  </si>
  <si>
    <t xml:space="preserve">Supplemental power needed to bring indoor temp into an 18-26C comfort band</t>
  </si>
  <si>
    <t xml:space="preserve">SYNTHETIC/ESTIMATED - instantaneous power, not integrated energy (see note)</t>
  </si>
  <si>
    <t xml:space="preserve">Directly measures how well a passive design reduces active heating/cooling need</t>
  </si>
  <si>
    <t xml:space="preserve">Thermal_Performance_Score / Overall_Suitability_Score_0to100</t>
  </si>
  <si>
    <t xml:space="preserve">Composite scores combining comfort and supplemental-power performance</t>
  </si>
  <si>
    <t xml:space="preserve">score 0-100</t>
  </si>
  <si>
    <t xml:space="preserve">Team-defined scoring function</t>
  </si>
  <si>
    <t xml:space="preserve">Basis for the Recommended/Not Recommended output the PS asks for</t>
  </si>
  <si>
    <t xml:space="preserve">Recommended_Status / Primary_Recommendation_Reason</t>
  </si>
  <si>
    <t xml:space="preserve">Final recommendation and the leading reason behind it</t>
  </si>
  <si>
    <t xml:space="preserve">Rule-based on the scores above</t>
  </si>
  <si>
    <t xml:space="preserve">Directly answers the PS's requested design-recommendation output</t>
  </si>
  <si>
    <t xml:space="preserve">All sheets</t>
  </si>
  <si>
    <t xml:space="preserve">Explicit statement of how each row's data was produced</t>
  </si>
  <si>
    <t xml:space="preserve">Team-authored disclosure</t>
  </si>
  <si>
    <t xml:space="preserve">N/A (this column IS the disclosure)</t>
  </si>
  <si>
    <t xml:space="preserve">Required by the user's own rule to never present synthetic data as real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</si>
</sst>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5" style="1" width="26"/>
    <col collapsed="false" customWidth="true" hidden="false" outlineLevel="0" max="20" min="20" style="1" width="7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true" outlineLevel="0" collapsed="false">
      <c r="A2" s="3" t="s">
        <v>20</v>
      </c>
      <c r="B2" s="3" t="n">
        <v>34.15</v>
      </c>
      <c r="C2" s="3" t="n">
        <v>77.58</v>
      </c>
      <c r="D2" s="3" t="n">
        <v>3500</v>
      </c>
      <c r="E2" s="3" t="s">
        <v>21</v>
      </c>
      <c r="F2" s="3" t="s">
        <v>22</v>
      </c>
      <c r="G2" s="3" t="n">
        <v>1</v>
      </c>
      <c r="H2" s="3" t="s">
        <v>23</v>
      </c>
      <c r="I2" s="3" t="s">
        <v>24</v>
      </c>
      <c r="J2" s="3" t="str">
        <f aca="false">A2&amp;"-"&amp;F2</f>
        <v>Leh-January</v>
      </c>
      <c r="K2" s="3" t="n">
        <v>-8</v>
      </c>
      <c r="L2" s="3" t="n">
        <v>25</v>
      </c>
      <c r="M2" s="3" t="n">
        <v>2</v>
      </c>
      <c r="N2" s="3" t="s">
        <v>25</v>
      </c>
      <c r="O2" s="3" t="n">
        <v>4</v>
      </c>
      <c r="P2" s="3" t="n">
        <f aca="false">O2*1000/24</f>
        <v>166.666666666667</v>
      </c>
      <c r="Q2" s="3" t="n">
        <v>5</v>
      </c>
      <c r="R2" s="3" t="n">
        <v>2</v>
      </c>
      <c r="S2" s="3" t="n">
        <f aca="false">1013.25*(1-0.0000225577*D2)^5.25588+R2</f>
        <v>659.640576283727</v>
      </c>
      <c r="T2" s="3" t="s">
        <v>26</v>
      </c>
    </row>
    <row r="3" customFormat="false" ht="15" hidden="false" customHeight="true" outlineLevel="0" collapsed="false">
      <c r="A3" s="3" t="s">
        <v>20</v>
      </c>
      <c r="B3" s="3" t="n">
        <v>34.15</v>
      </c>
      <c r="C3" s="3" t="n">
        <v>77.58</v>
      </c>
      <c r="D3" s="3" t="n">
        <v>3500</v>
      </c>
      <c r="E3" s="3" t="s">
        <v>21</v>
      </c>
      <c r="F3" s="3" t="s">
        <v>27</v>
      </c>
      <c r="G3" s="3" t="n">
        <v>2</v>
      </c>
      <c r="H3" s="3" t="s">
        <v>23</v>
      </c>
      <c r="I3" s="3" t="s">
        <v>28</v>
      </c>
      <c r="J3" s="3" t="str">
        <f aca="false">A3&amp;"-"&amp;F3</f>
        <v>Leh-February</v>
      </c>
      <c r="K3" s="3" t="n">
        <v>-5</v>
      </c>
      <c r="L3" s="3" t="n">
        <v>25</v>
      </c>
      <c r="M3" s="3" t="n">
        <v>2.5</v>
      </c>
      <c r="N3" s="3" t="s">
        <v>25</v>
      </c>
      <c r="O3" s="3" t="n">
        <v>4.5</v>
      </c>
      <c r="P3" s="3" t="n">
        <f aca="false">O3*1000/24</f>
        <v>187.5</v>
      </c>
      <c r="Q3" s="3" t="n">
        <v>5</v>
      </c>
      <c r="R3" s="3" t="n">
        <v>1.5</v>
      </c>
      <c r="S3" s="3" t="n">
        <f aca="false">1013.25*(1-0.0000225577*D3)^5.25588+R3</f>
        <v>659.140576283727</v>
      </c>
      <c r="T3" s="3" t="s">
        <v>26</v>
      </c>
    </row>
    <row r="4" customFormat="false" ht="15" hidden="false" customHeight="true" outlineLevel="0" collapsed="false">
      <c r="A4" s="3" t="s">
        <v>20</v>
      </c>
      <c r="B4" s="3" t="n">
        <v>34.15</v>
      </c>
      <c r="C4" s="3" t="n">
        <v>77.58</v>
      </c>
      <c r="D4" s="3" t="n">
        <v>3500</v>
      </c>
      <c r="E4" s="3" t="s">
        <v>21</v>
      </c>
      <c r="F4" s="3" t="s">
        <v>29</v>
      </c>
      <c r="G4" s="3" t="n">
        <v>3</v>
      </c>
      <c r="H4" s="3" t="s">
        <v>30</v>
      </c>
      <c r="I4" s="3" t="s">
        <v>31</v>
      </c>
      <c r="J4" s="3" t="str">
        <f aca="false">A4&amp;"-"&amp;F4</f>
        <v>Leh-March</v>
      </c>
      <c r="K4" s="3" t="n">
        <v>1</v>
      </c>
      <c r="L4" s="3" t="n">
        <v>28</v>
      </c>
      <c r="M4" s="3" t="n">
        <v>3.5</v>
      </c>
      <c r="N4" s="3" t="s">
        <v>32</v>
      </c>
      <c r="O4" s="3" t="n">
        <v>5.5</v>
      </c>
      <c r="P4" s="3" t="n">
        <f aca="false">O4*1000/24</f>
        <v>229.166666666667</v>
      </c>
      <c r="Q4" s="3" t="n">
        <v>8</v>
      </c>
      <c r="R4" s="3" t="n">
        <v>1</v>
      </c>
      <c r="S4" s="3" t="n">
        <f aca="false">1013.25*(1-0.0000225577*D4)^5.25588+R4</f>
        <v>658.640576283727</v>
      </c>
      <c r="T4" s="3" t="s">
        <v>26</v>
      </c>
    </row>
    <row r="5" customFormat="false" ht="15" hidden="false" customHeight="true" outlineLevel="0" collapsed="false">
      <c r="A5" s="3" t="s">
        <v>20</v>
      </c>
      <c r="B5" s="3" t="n">
        <v>34.15</v>
      </c>
      <c r="C5" s="3" t="n">
        <v>77.58</v>
      </c>
      <c r="D5" s="3" t="n">
        <v>3500</v>
      </c>
      <c r="E5" s="3" t="s">
        <v>21</v>
      </c>
      <c r="F5" s="3" t="s">
        <v>33</v>
      </c>
      <c r="G5" s="3" t="n">
        <v>4</v>
      </c>
      <c r="H5" s="3" t="s">
        <v>30</v>
      </c>
      <c r="I5" s="3" t="s">
        <v>34</v>
      </c>
      <c r="J5" s="3" t="str">
        <f aca="false">A5&amp;"-"&amp;F5</f>
        <v>Leh-April</v>
      </c>
      <c r="K5" s="3" t="n">
        <v>7</v>
      </c>
      <c r="L5" s="3" t="n">
        <v>30</v>
      </c>
      <c r="M5" s="3" t="n">
        <v>4</v>
      </c>
      <c r="N5" s="3" t="s">
        <v>32</v>
      </c>
      <c r="O5" s="3" t="n">
        <v>6.5</v>
      </c>
      <c r="P5" s="3" t="n">
        <f aca="false">O5*1000/24</f>
        <v>270.833333333333</v>
      </c>
      <c r="Q5" s="3" t="n">
        <v>10</v>
      </c>
      <c r="R5" s="3" t="n">
        <v>0</v>
      </c>
      <c r="S5" s="3" t="n">
        <f aca="false">1013.25*(1-0.0000225577*D5)^5.25588+R5</f>
        <v>657.640576283727</v>
      </c>
      <c r="T5" s="3" t="s">
        <v>26</v>
      </c>
    </row>
    <row r="6" customFormat="false" ht="15" hidden="false" customHeight="true" outlineLevel="0" collapsed="false">
      <c r="A6" s="3" t="s">
        <v>20</v>
      </c>
      <c r="B6" s="3" t="n">
        <v>34.15</v>
      </c>
      <c r="C6" s="3" t="n">
        <v>77.58</v>
      </c>
      <c r="D6" s="3" t="n">
        <v>3500</v>
      </c>
      <c r="E6" s="3" t="s">
        <v>21</v>
      </c>
      <c r="F6" s="3" t="s">
        <v>35</v>
      </c>
      <c r="G6" s="3" t="n">
        <v>5</v>
      </c>
      <c r="H6" s="3" t="s">
        <v>36</v>
      </c>
      <c r="I6" s="3" t="s">
        <v>37</v>
      </c>
      <c r="J6" s="3" t="str">
        <f aca="false">A6&amp;"-"&amp;F6</f>
        <v>Leh-May</v>
      </c>
      <c r="K6" s="3" t="n">
        <v>12</v>
      </c>
      <c r="L6" s="3" t="n">
        <v>32</v>
      </c>
      <c r="M6" s="3" t="n">
        <v>4</v>
      </c>
      <c r="N6" s="3" t="s">
        <v>38</v>
      </c>
      <c r="O6" s="3" t="n">
        <v>7</v>
      </c>
      <c r="P6" s="3" t="n">
        <f aca="false">O6*1000/24</f>
        <v>291.666666666667</v>
      </c>
      <c r="Q6" s="3" t="n">
        <v>10</v>
      </c>
      <c r="R6" s="3" t="n">
        <v>-1</v>
      </c>
      <c r="S6" s="3" t="n">
        <f aca="false">1013.25*(1-0.0000225577*D6)^5.25588+R6</f>
        <v>656.640576283727</v>
      </c>
      <c r="T6" s="3" t="s">
        <v>26</v>
      </c>
    </row>
    <row r="7" customFormat="false" ht="15" hidden="false" customHeight="true" outlineLevel="0" collapsed="false">
      <c r="A7" s="3" t="s">
        <v>20</v>
      </c>
      <c r="B7" s="3" t="n">
        <v>34.15</v>
      </c>
      <c r="C7" s="3" t="n">
        <v>77.58</v>
      </c>
      <c r="D7" s="3" t="n">
        <v>3500</v>
      </c>
      <c r="E7" s="3" t="s">
        <v>21</v>
      </c>
      <c r="F7" s="3" t="s">
        <v>39</v>
      </c>
      <c r="G7" s="3" t="n">
        <v>6</v>
      </c>
      <c r="H7" s="3" t="s">
        <v>40</v>
      </c>
      <c r="I7" s="3" t="s">
        <v>41</v>
      </c>
      <c r="J7" s="3" t="str">
        <f aca="false">A7&amp;"-"&amp;F7</f>
        <v>Leh-June</v>
      </c>
      <c r="K7" s="3" t="n">
        <v>16</v>
      </c>
      <c r="L7" s="3" t="n">
        <v>35</v>
      </c>
      <c r="M7" s="3" t="n">
        <v>3.5</v>
      </c>
      <c r="N7" s="3" t="s">
        <v>38</v>
      </c>
      <c r="O7" s="3" t="n">
        <v>7.2</v>
      </c>
      <c r="P7" s="3" t="n">
        <f aca="false">O7*1000/24</f>
        <v>300</v>
      </c>
      <c r="Q7" s="3" t="n">
        <v>8</v>
      </c>
      <c r="R7" s="3" t="n">
        <v>-2</v>
      </c>
      <c r="S7" s="3" t="n">
        <f aca="false">1013.25*(1-0.0000225577*D7)^5.25588+R7</f>
        <v>655.640576283727</v>
      </c>
      <c r="T7" s="3" t="s">
        <v>26</v>
      </c>
    </row>
    <row r="8" customFormat="false" ht="15" hidden="false" customHeight="true" outlineLevel="0" collapsed="false">
      <c r="A8" s="3" t="s">
        <v>20</v>
      </c>
      <c r="B8" s="3" t="n">
        <v>34.15</v>
      </c>
      <c r="C8" s="3" t="n">
        <v>77.58</v>
      </c>
      <c r="D8" s="3" t="n">
        <v>3500</v>
      </c>
      <c r="E8" s="3" t="s">
        <v>21</v>
      </c>
      <c r="F8" s="3" t="s">
        <v>42</v>
      </c>
      <c r="G8" s="3" t="n">
        <v>7</v>
      </c>
      <c r="H8" s="3" t="s">
        <v>40</v>
      </c>
      <c r="I8" s="3" t="s">
        <v>43</v>
      </c>
      <c r="J8" s="3" t="str">
        <f aca="false">A8&amp;"-"&amp;F8</f>
        <v>Leh-July</v>
      </c>
      <c r="K8" s="3" t="n">
        <v>19</v>
      </c>
      <c r="L8" s="3" t="n">
        <v>38</v>
      </c>
      <c r="M8" s="3" t="n">
        <v>3</v>
      </c>
      <c r="N8" s="3" t="s">
        <v>38</v>
      </c>
      <c r="O8" s="3" t="n">
        <v>6.8</v>
      </c>
      <c r="P8" s="3" t="n">
        <f aca="false">O8*1000/24</f>
        <v>283.333333333333</v>
      </c>
      <c r="Q8" s="3" t="n">
        <v>15</v>
      </c>
      <c r="R8" s="3" t="n">
        <v>-2</v>
      </c>
      <c r="S8" s="3" t="n">
        <f aca="false">1013.25*(1-0.0000225577*D8)^5.25588+R8</f>
        <v>655.640576283727</v>
      </c>
      <c r="T8" s="3" t="s">
        <v>26</v>
      </c>
    </row>
    <row r="9" customFormat="false" ht="15" hidden="false" customHeight="true" outlineLevel="0" collapsed="false">
      <c r="A9" s="3" t="s">
        <v>20</v>
      </c>
      <c r="B9" s="3" t="n">
        <v>34.15</v>
      </c>
      <c r="C9" s="3" t="n">
        <v>77.58</v>
      </c>
      <c r="D9" s="3" t="n">
        <v>3500</v>
      </c>
      <c r="E9" s="3" t="s">
        <v>21</v>
      </c>
      <c r="F9" s="3" t="s">
        <v>44</v>
      </c>
      <c r="G9" s="3" t="n">
        <v>8</v>
      </c>
      <c r="H9" s="3" t="s">
        <v>40</v>
      </c>
      <c r="I9" s="3" t="s">
        <v>45</v>
      </c>
      <c r="J9" s="3" t="str">
        <f aca="false">A9&amp;"-"&amp;F9</f>
        <v>Leh-August</v>
      </c>
      <c r="K9" s="3" t="n">
        <v>18</v>
      </c>
      <c r="L9" s="3" t="n">
        <v>38</v>
      </c>
      <c r="M9" s="3" t="n">
        <v>3</v>
      </c>
      <c r="N9" s="3" t="s">
        <v>38</v>
      </c>
      <c r="O9" s="3" t="n">
        <v>6.5</v>
      </c>
      <c r="P9" s="3" t="n">
        <f aca="false">O9*1000/24</f>
        <v>270.833333333333</v>
      </c>
      <c r="Q9" s="3" t="n">
        <v>15</v>
      </c>
      <c r="R9" s="3" t="n">
        <v>-2</v>
      </c>
      <c r="S9" s="3" t="n">
        <f aca="false">1013.25*(1-0.0000225577*D9)^5.25588+R9</f>
        <v>655.640576283727</v>
      </c>
      <c r="T9" s="3" t="s">
        <v>26</v>
      </c>
    </row>
    <row r="10" customFormat="false" ht="15" hidden="false" customHeight="true" outlineLevel="0" collapsed="false">
      <c r="A10" s="3" t="s">
        <v>20</v>
      </c>
      <c r="B10" s="3" t="n">
        <v>34.15</v>
      </c>
      <c r="C10" s="3" t="n">
        <v>77.58</v>
      </c>
      <c r="D10" s="3" t="n">
        <v>3500</v>
      </c>
      <c r="E10" s="3" t="s">
        <v>21</v>
      </c>
      <c r="F10" s="3" t="s">
        <v>46</v>
      </c>
      <c r="G10" s="3" t="n">
        <v>9</v>
      </c>
      <c r="H10" s="3" t="s">
        <v>40</v>
      </c>
      <c r="I10" s="3" t="s">
        <v>47</v>
      </c>
      <c r="J10" s="3" t="str">
        <f aca="false">A10&amp;"-"&amp;F10</f>
        <v>Leh-September</v>
      </c>
      <c r="K10" s="3" t="n">
        <v>14</v>
      </c>
      <c r="L10" s="3" t="n">
        <v>35</v>
      </c>
      <c r="M10" s="3" t="n">
        <v>3</v>
      </c>
      <c r="N10" s="3" t="s">
        <v>32</v>
      </c>
      <c r="O10" s="3" t="n">
        <v>6</v>
      </c>
      <c r="P10" s="3" t="n">
        <f aca="false">O10*1000/24</f>
        <v>250</v>
      </c>
      <c r="Q10" s="3" t="n">
        <v>8</v>
      </c>
      <c r="R10" s="3" t="n">
        <v>-1</v>
      </c>
      <c r="S10" s="3" t="n">
        <f aca="false">1013.25*(1-0.0000225577*D10)^5.25588+R10</f>
        <v>656.640576283727</v>
      </c>
      <c r="T10" s="3" t="s">
        <v>26</v>
      </c>
    </row>
    <row r="11" customFormat="false" ht="15" hidden="false" customHeight="true" outlineLevel="0" collapsed="false">
      <c r="A11" s="3" t="s">
        <v>20</v>
      </c>
      <c r="B11" s="3" t="n">
        <v>34.15</v>
      </c>
      <c r="C11" s="3" t="n">
        <v>77.58</v>
      </c>
      <c r="D11" s="3" t="n">
        <v>3500</v>
      </c>
      <c r="E11" s="3" t="s">
        <v>21</v>
      </c>
      <c r="F11" s="3" t="s">
        <v>48</v>
      </c>
      <c r="G11" s="3" t="n">
        <v>10</v>
      </c>
      <c r="H11" s="3" t="s">
        <v>49</v>
      </c>
      <c r="I11" s="3" t="s">
        <v>50</v>
      </c>
      <c r="J11" s="3" t="str">
        <f aca="false">A11&amp;"-"&amp;F11</f>
        <v>Leh-October</v>
      </c>
      <c r="K11" s="3" t="n">
        <v>7</v>
      </c>
      <c r="L11" s="3" t="n">
        <v>30</v>
      </c>
      <c r="M11" s="3" t="n">
        <v>2.5</v>
      </c>
      <c r="N11" s="3" t="s">
        <v>32</v>
      </c>
      <c r="O11" s="3" t="n">
        <v>5</v>
      </c>
      <c r="P11" s="3" t="n">
        <f aca="false">O11*1000/24</f>
        <v>208.333333333333</v>
      </c>
      <c r="Q11" s="3" t="n">
        <v>3</v>
      </c>
      <c r="R11" s="3" t="n">
        <v>0</v>
      </c>
      <c r="S11" s="3" t="n">
        <f aca="false">1013.25*(1-0.0000225577*D11)^5.25588+R11</f>
        <v>657.640576283727</v>
      </c>
      <c r="T11" s="3" t="s">
        <v>26</v>
      </c>
    </row>
    <row r="12" customFormat="false" ht="15" hidden="false" customHeight="true" outlineLevel="0" collapsed="false">
      <c r="A12" s="3" t="s">
        <v>20</v>
      </c>
      <c r="B12" s="3" t="n">
        <v>34.15</v>
      </c>
      <c r="C12" s="3" t="n">
        <v>77.58</v>
      </c>
      <c r="D12" s="3" t="n">
        <v>3500</v>
      </c>
      <c r="E12" s="3" t="s">
        <v>21</v>
      </c>
      <c r="F12" s="3" t="s">
        <v>51</v>
      </c>
      <c r="G12" s="3" t="n">
        <v>11</v>
      </c>
      <c r="H12" s="3" t="s">
        <v>49</v>
      </c>
      <c r="I12" s="3" t="s">
        <v>52</v>
      </c>
      <c r="J12" s="3" t="str">
        <f aca="false">A12&amp;"-"&amp;F12</f>
        <v>Leh-November</v>
      </c>
      <c r="K12" s="3" t="n">
        <v>-1</v>
      </c>
      <c r="L12" s="3" t="n">
        <v>27</v>
      </c>
      <c r="M12" s="3" t="n">
        <v>2</v>
      </c>
      <c r="N12" s="3" t="s">
        <v>25</v>
      </c>
      <c r="O12" s="3" t="n">
        <v>4.2</v>
      </c>
      <c r="P12" s="3" t="n">
        <f aca="false">O12*1000/24</f>
        <v>175</v>
      </c>
      <c r="Q12" s="3" t="n">
        <v>2</v>
      </c>
      <c r="R12" s="3" t="n">
        <v>1</v>
      </c>
      <c r="S12" s="3" t="n">
        <f aca="false">1013.25*(1-0.0000225577*D12)^5.25588+R12</f>
        <v>658.640576283727</v>
      </c>
      <c r="T12" s="3" t="s">
        <v>26</v>
      </c>
    </row>
    <row r="13" customFormat="false" ht="15" hidden="false" customHeight="true" outlineLevel="0" collapsed="false">
      <c r="A13" s="3" t="s">
        <v>20</v>
      </c>
      <c r="B13" s="3" t="n">
        <v>34.15</v>
      </c>
      <c r="C13" s="3" t="n">
        <v>77.58</v>
      </c>
      <c r="D13" s="3" t="n">
        <v>3500</v>
      </c>
      <c r="E13" s="3" t="s">
        <v>21</v>
      </c>
      <c r="F13" s="3" t="s">
        <v>53</v>
      </c>
      <c r="G13" s="3" t="n">
        <v>12</v>
      </c>
      <c r="H13" s="3" t="s">
        <v>23</v>
      </c>
      <c r="I13" s="3" t="s">
        <v>54</v>
      </c>
      <c r="J13" s="3" t="str">
        <f aca="false">A13&amp;"-"&amp;F13</f>
        <v>Leh-December</v>
      </c>
      <c r="K13" s="3" t="n">
        <v>-6</v>
      </c>
      <c r="L13" s="3" t="n">
        <v>25</v>
      </c>
      <c r="M13" s="3" t="n">
        <v>2</v>
      </c>
      <c r="N13" s="3" t="s">
        <v>25</v>
      </c>
      <c r="O13" s="3" t="n">
        <v>3.8</v>
      </c>
      <c r="P13" s="3" t="n">
        <f aca="false">O13*1000/24</f>
        <v>158.333333333333</v>
      </c>
      <c r="Q13" s="3" t="n">
        <v>3</v>
      </c>
      <c r="R13" s="3" t="n">
        <v>2</v>
      </c>
      <c r="S13" s="3" t="n">
        <f aca="false">1013.25*(1-0.0000225577*D13)^5.25588+R13</f>
        <v>659.640576283727</v>
      </c>
      <c r="T13" s="3" t="s">
        <v>26</v>
      </c>
    </row>
    <row r="14" customFormat="false" ht="15" hidden="false" customHeight="true" outlineLevel="0" collapsed="false">
      <c r="A14" s="3" t="s">
        <v>55</v>
      </c>
      <c r="B14" s="3" t="n">
        <v>34.08</v>
      </c>
      <c r="C14" s="3" t="n">
        <v>74.8</v>
      </c>
      <c r="D14" s="3" t="n">
        <v>1585</v>
      </c>
      <c r="E14" s="3" t="s">
        <v>56</v>
      </c>
      <c r="F14" s="3" t="s">
        <v>22</v>
      </c>
      <c r="G14" s="3" t="n">
        <v>1</v>
      </c>
      <c r="H14" s="3" t="s">
        <v>23</v>
      </c>
      <c r="I14" s="3" t="s">
        <v>24</v>
      </c>
      <c r="J14" s="3" t="str">
        <f aca="false">A14&amp;"-"&amp;F14</f>
        <v>Srinagar-January</v>
      </c>
      <c r="K14" s="3" t="n">
        <v>3</v>
      </c>
      <c r="L14" s="3" t="n">
        <v>55</v>
      </c>
      <c r="M14" s="3" t="n">
        <v>1.5</v>
      </c>
      <c r="N14" s="3" t="s">
        <v>25</v>
      </c>
      <c r="O14" s="3" t="n">
        <v>2.5</v>
      </c>
      <c r="P14" s="3" t="n">
        <f aca="false">O14*1000/24</f>
        <v>104.166666666667</v>
      </c>
      <c r="Q14" s="3" t="n">
        <v>70</v>
      </c>
      <c r="R14" s="3" t="n">
        <v>2</v>
      </c>
      <c r="S14" s="3" t="n">
        <f aca="false">1013.25*(1-0.0000225577*D14)^5.25588+R14</f>
        <v>838.777388056611</v>
      </c>
      <c r="T14" s="3" t="s">
        <v>26</v>
      </c>
    </row>
    <row r="15" customFormat="false" ht="15" hidden="false" customHeight="true" outlineLevel="0" collapsed="false">
      <c r="A15" s="3" t="s">
        <v>55</v>
      </c>
      <c r="B15" s="3" t="n">
        <v>34.08</v>
      </c>
      <c r="C15" s="3" t="n">
        <v>74.8</v>
      </c>
      <c r="D15" s="3" t="n">
        <v>1585</v>
      </c>
      <c r="E15" s="3" t="s">
        <v>56</v>
      </c>
      <c r="F15" s="3" t="s">
        <v>27</v>
      </c>
      <c r="G15" s="3" t="n">
        <v>2</v>
      </c>
      <c r="H15" s="3" t="s">
        <v>23</v>
      </c>
      <c r="I15" s="3" t="s">
        <v>28</v>
      </c>
      <c r="J15" s="3" t="str">
        <f aca="false">A15&amp;"-"&amp;F15</f>
        <v>Srinagar-February</v>
      </c>
      <c r="K15" s="3" t="n">
        <v>5</v>
      </c>
      <c r="L15" s="3" t="n">
        <v>55</v>
      </c>
      <c r="M15" s="3" t="n">
        <v>1.8</v>
      </c>
      <c r="N15" s="3" t="s">
        <v>25</v>
      </c>
      <c r="O15" s="3" t="n">
        <v>3</v>
      </c>
      <c r="P15" s="3" t="n">
        <f aca="false">O15*1000/24</f>
        <v>125</v>
      </c>
      <c r="Q15" s="3" t="n">
        <v>80</v>
      </c>
      <c r="R15" s="3" t="n">
        <v>1.5</v>
      </c>
      <c r="S15" s="3" t="n">
        <f aca="false">1013.25*(1-0.0000225577*D15)^5.25588+R15</f>
        <v>838.277388056611</v>
      </c>
      <c r="T15" s="3" t="s">
        <v>26</v>
      </c>
    </row>
    <row r="16" customFormat="false" ht="15" hidden="false" customHeight="true" outlineLevel="0" collapsed="false">
      <c r="A16" s="3" t="s">
        <v>55</v>
      </c>
      <c r="B16" s="3" t="n">
        <v>34.08</v>
      </c>
      <c r="C16" s="3" t="n">
        <v>74.8</v>
      </c>
      <c r="D16" s="3" t="n">
        <v>1585</v>
      </c>
      <c r="E16" s="3" t="s">
        <v>56</v>
      </c>
      <c r="F16" s="3" t="s">
        <v>29</v>
      </c>
      <c r="G16" s="3" t="n">
        <v>3</v>
      </c>
      <c r="H16" s="3" t="s">
        <v>30</v>
      </c>
      <c r="I16" s="3" t="s">
        <v>31</v>
      </c>
      <c r="J16" s="3" t="str">
        <f aca="false">A16&amp;"-"&amp;F16</f>
        <v>Srinagar-March</v>
      </c>
      <c r="K16" s="3" t="n">
        <v>10</v>
      </c>
      <c r="L16" s="3" t="n">
        <v>50</v>
      </c>
      <c r="M16" s="3" t="n">
        <v>2.2</v>
      </c>
      <c r="N16" s="3" t="s">
        <v>32</v>
      </c>
      <c r="O16" s="3" t="n">
        <v>4</v>
      </c>
      <c r="P16" s="3" t="n">
        <f aca="false">O16*1000/24</f>
        <v>166.666666666667</v>
      </c>
      <c r="Q16" s="3" t="n">
        <v>90</v>
      </c>
      <c r="R16" s="3" t="n">
        <v>1</v>
      </c>
      <c r="S16" s="3" t="n">
        <f aca="false">1013.25*(1-0.0000225577*D16)^5.25588+R16</f>
        <v>837.777388056611</v>
      </c>
      <c r="T16" s="3" t="s">
        <v>26</v>
      </c>
    </row>
    <row r="17" customFormat="false" ht="15" hidden="false" customHeight="true" outlineLevel="0" collapsed="false">
      <c r="A17" s="3" t="s">
        <v>55</v>
      </c>
      <c r="B17" s="3" t="n">
        <v>34.08</v>
      </c>
      <c r="C17" s="3" t="n">
        <v>74.8</v>
      </c>
      <c r="D17" s="3" t="n">
        <v>1585</v>
      </c>
      <c r="E17" s="3" t="s">
        <v>56</v>
      </c>
      <c r="F17" s="3" t="s">
        <v>33</v>
      </c>
      <c r="G17" s="3" t="n">
        <v>4</v>
      </c>
      <c r="H17" s="3" t="s">
        <v>30</v>
      </c>
      <c r="I17" s="3" t="s">
        <v>34</v>
      </c>
      <c r="J17" s="3" t="str">
        <f aca="false">A17&amp;"-"&amp;F17</f>
        <v>Srinagar-April</v>
      </c>
      <c r="K17" s="3" t="n">
        <v>15</v>
      </c>
      <c r="L17" s="3" t="n">
        <v>50</v>
      </c>
      <c r="M17" s="3" t="n">
        <v>2.5</v>
      </c>
      <c r="N17" s="3" t="s">
        <v>32</v>
      </c>
      <c r="O17" s="3" t="n">
        <v>5</v>
      </c>
      <c r="P17" s="3" t="n">
        <f aca="false">O17*1000/24</f>
        <v>208.333333333333</v>
      </c>
      <c r="Q17" s="3" t="n">
        <v>90</v>
      </c>
      <c r="R17" s="3" t="n">
        <v>0</v>
      </c>
      <c r="S17" s="3" t="n">
        <f aca="false">1013.25*(1-0.0000225577*D17)^5.25588+R17</f>
        <v>836.777388056611</v>
      </c>
      <c r="T17" s="3" t="s">
        <v>26</v>
      </c>
    </row>
    <row r="18" customFormat="false" ht="15" hidden="false" customHeight="true" outlineLevel="0" collapsed="false">
      <c r="A18" s="3" t="s">
        <v>55</v>
      </c>
      <c r="B18" s="3" t="n">
        <v>34.08</v>
      </c>
      <c r="C18" s="3" t="n">
        <v>74.8</v>
      </c>
      <c r="D18" s="3" t="n">
        <v>1585</v>
      </c>
      <c r="E18" s="3" t="s">
        <v>56</v>
      </c>
      <c r="F18" s="3" t="s">
        <v>35</v>
      </c>
      <c r="G18" s="3" t="n">
        <v>5</v>
      </c>
      <c r="H18" s="3" t="s">
        <v>36</v>
      </c>
      <c r="I18" s="3" t="s">
        <v>37</v>
      </c>
      <c r="J18" s="3" t="str">
        <f aca="false">A18&amp;"-"&amp;F18</f>
        <v>Srinagar-May</v>
      </c>
      <c r="K18" s="3" t="n">
        <v>20</v>
      </c>
      <c r="L18" s="3" t="n">
        <v>50</v>
      </c>
      <c r="M18" s="3" t="n">
        <v>2.3</v>
      </c>
      <c r="N18" s="3" t="s">
        <v>38</v>
      </c>
      <c r="O18" s="3" t="n">
        <v>5.8</v>
      </c>
      <c r="P18" s="3" t="n">
        <f aca="false">O18*1000/24</f>
        <v>241.666666666667</v>
      </c>
      <c r="Q18" s="3" t="n">
        <v>60</v>
      </c>
      <c r="R18" s="3" t="n">
        <v>-1</v>
      </c>
      <c r="S18" s="3" t="n">
        <f aca="false">1013.25*(1-0.0000225577*D18)^5.25588+R18</f>
        <v>835.777388056611</v>
      </c>
      <c r="T18" s="3" t="s">
        <v>26</v>
      </c>
    </row>
    <row r="19" customFormat="false" ht="15" hidden="false" customHeight="true" outlineLevel="0" collapsed="false">
      <c r="A19" s="3" t="s">
        <v>55</v>
      </c>
      <c r="B19" s="3" t="n">
        <v>34.08</v>
      </c>
      <c r="C19" s="3" t="n">
        <v>74.8</v>
      </c>
      <c r="D19" s="3" t="n">
        <v>1585</v>
      </c>
      <c r="E19" s="3" t="s">
        <v>56</v>
      </c>
      <c r="F19" s="3" t="s">
        <v>39</v>
      </c>
      <c r="G19" s="3" t="n">
        <v>6</v>
      </c>
      <c r="H19" s="3" t="s">
        <v>40</v>
      </c>
      <c r="I19" s="3" t="s">
        <v>41</v>
      </c>
      <c r="J19" s="3" t="str">
        <f aca="false">A19&amp;"-"&amp;F19</f>
        <v>Srinagar-June</v>
      </c>
      <c r="K19" s="3" t="n">
        <v>24</v>
      </c>
      <c r="L19" s="3" t="n">
        <v>55</v>
      </c>
      <c r="M19" s="3" t="n">
        <v>2</v>
      </c>
      <c r="N19" s="3" t="s">
        <v>38</v>
      </c>
      <c r="O19" s="3" t="n">
        <v>5.8</v>
      </c>
      <c r="P19" s="3" t="n">
        <f aca="false">O19*1000/24</f>
        <v>241.666666666667</v>
      </c>
      <c r="Q19" s="3" t="n">
        <v>40</v>
      </c>
      <c r="R19" s="3" t="n">
        <v>-2</v>
      </c>
      <c r="S19" s="3" t="n">
        <f aca="false">1013.25*(1-0.0000225577*D19)^5.25588+R19</f>
        <v>834.777388056611</v>
      </c>
      <c r="T19" s="3" t="s">
        <v>26</v>
      </c>
    </row>
    <row r="20" customFormat="false" ht="15" hidden="false" customHeight="true" outlineLevel="0" collapsed="false">
      <c r="A20" s="3" t="s">
        <v>55</v>
      </c>
      <c r="B20" s="3" t="n">
        <v>34.08</v>
      </c>
      <c r="C20" s="3" t="n">
        <v>74.8</v>
      </c>
      <c r="D20" s="3" t="n">
        <v>1585</v>
      </c>
      <c r="E20" s="3" t="s">
        <v>56</v>
      </c>
      <c r="F20" s="3" t="s">
        <v>42</v>
      </c>
      <c r="G20" s="3" t="n">
        <v>7</v>
      </c>
      <c r="H20" s="3" t="s">
        <v>40</v>
      </c>
      <c r="I20" s="3" t="s">
        <v>43</v>
      </c>
      <c r="J20" s="3" t="str">
        <f aca="false">A20&amp;"-"&amp;F20</f>
        <v>Srinagar-July</v>
      </c>
      <c r="K20" s="3" t="n">
        <v>26</v>
      </c>
      <c r="L20" s="3" t="n">
        <v>60</v>
      </c>
      <c r="M20" s="3" t="n">
        <v>1.8</v>
      </c>
      <c r="N20" s="3" t="s">
        <v>38</v>
      </c>
      <c r="O20" s="3" t="n">
        <v>5</v>
      </c>
      <c r="P20" s="3" t="n">
        <f aca="false">O20*1000/24</f>
        <v>208.333333333333</v>
      </c>
      <c r="Q20" s="3" t="n">
        <v>60</v>
      </c>
      <c r="R20" s="3" t="n">
        <v>-2</v>
      </c>
      <c r="S20" s="3" t="n">
        <f aca="false">1013.25*(1-0.0000225577*D20)^5.25588+R20</f>
        <v>834.777388056611</v>
      </c>
      <c r="T20" s="3" t="s">
        <v>26</v>
      </c>
    </row>
    <row r="21" customFormat="false" ht="15" hidden="false" customHeight="true" outlineLevel="0" collapsed="false">
      <c r="A21" s="3" t="s">
        <v>55</v>
      </c>
      <c r="B21" s="3" t="n">
        <v>34.08</v>
      </c>
      <c r="C21" s="3" t="n">
        <v>74.8</v>
      </c>
      <c r="D21" s="3" t="n">
        <v>1585</v>
      </c>
      <c r="E21" s="3" t="s">
        <v>56</v>
      </c>
      <c r="F21" s="3" t="s">
        <v>44</v>
      </c>
      <c r="G21" s="3" t="n">
        <v>8</v>
      </c>
      <c r="H21" s="3" t="s">
        <v>40</v>
      </c>
      <c r="I21" s="3" t="s">
        <v>45</v>
      </c>
      <c r="J21" s="3" t="str">
        <f aca="false">A21&amp;"-"&amp;F21</f>
        <v>Srinagar-August</v>
      </c>
      <c r="K21" s="3" t="n">
        <v>25</v>
      </c>
      <c r="L21" s="3" t="n">
        <v>60</v>
      </c>
      <c r="M21" s="3" t="n">
        <v>1.7</v>
      </c>
      <c r="N21" s="3" t="s">
        <v>38</v>
      </c>
      <c r="O21" s="3" t="n">
        <v>4.8</v>
      </c>
      <c r="P21" s="3" t="n">
        <f aca="false">O21*1000/24</f>
        <v>200</v>
      </c>
      <c r="Q21" s="3" t="n">
        <v>70</v>
      </c>
      <c r="R21" s="3" t="n">
        <v>-2</v>
      </c>
      <c r="S21" s="3" t="n">
        <f aca="false">1013.25*(1-0.0000225577*D21)^5.25588+R21</f>
        <v>834.777388056611</v>
      </c>
      <c r="T21" s="3" t="s">
        <v>26</v>
      </c>
    </row>
    <row r="22" customFormat="false" ht="15" hidden="false" customHeight="true" outlineLevel="0" collapsed="false">
      <c r="A22" s="3" t="s">
        <v>55</v>
      </c>
      <c r="B22" s="3" t="n">
        <v>34.08</v>
      </c>
      <c r="C22" s="3" t="n">
        <v>74.8</v>
      </c>
      <c r="D22" s="3" t="n">
        <v>1585</v>
      </c>
      <c r="E22" s="3" t="s">
        <v>56</v>
      </c>
      <c r="F22" s="3" t="s">
        <v>46</v>
      </c>
      <c r="G22" s="3" t="n">
        <v>9</v>
      </c>
      <c r="H22" s="3" t="s">
        <v>40</v>
      </c>
      <c r="I22" s="3" t="s">
        <v>47</v>
      </c>
      <c r="J22" s="3" t="str">
        <f aca="false">A22&amp;"-"&amp;F22</f>
        <v>Srinagar-September</v>
      </c>
      <c r="K22" s="3" t="n">
        <v>22</v>
      </c>
      <c r="L22" s="3" t="n">
        <v>55</v>
      </c>
      <c r="M22" s="3" t="n">
        <v>1.8</v>
      </c>
      <c r="N22" s="3" t="s">
        <v>32</v>
      </c>
      <c r="O22" s="3" t="n">
        <v>4.5</v>
      </c>
      <c r="P22" s="3" t="n">
        <f aca="false">O22*1000/24</f>
        <v>187.5</v>
      </c>
      <c r="Q22" s="3" t="n">
        <v>50</v>
      </c>
      <c r="R22" s="3" t="n">
        <v>-1</v>
      </c>
      <c r="S22" s="3" t="n">
        <f aca="false">1013.25*(1-0.0000225577*D22)^5.25588+R22</f>
        <v>835.777388056611</v>
      </c>
      <c r="T22" s="3" t="s">
        <v>26</v>
      </c>
    </row>
    <row r="23" customFormat="false" ht="15" hidden="false" customHeight="true" outlineLevel="0" collapsed="false">
      <c r="A23" s="3" t="s">
        <v>55</v>
      </c>
      <c r="B23" s="3" t="n">
        <v>34.08</v>
      </c>
      <c r="C23" s="3" t="n">
        <v>74.8</v>
      </c>
      <c r="D23" s="3" t="n">
        <v>1585</v>
      </c>
      <c r="E23" s="3" t="s">
        <v>56</v>
      </c>
      <c r="F23" s="3" t="s">
        <v>48</v>
      </c>
      <c r="G23" s="3" t="n">
        <v>10</v>
      </c>
      <c r="H23" s="3" t="s">
        <v>49</v>
      </c>
      <c r="I23" s="3" t="s">
        <v>50</v>
      </c>
      <c r="J23" s="3" t="str">
        <f aca="false">A23&amp;"-"&amp;F23</f>
        <v>Srinagar-October</v>
      </c>
      <c r="K23" s="3" t="n">
        <v>16</v>
      </c>
      <c r="L23" s="3" t="n">
        <v>50</v>
      </c>
      <c r="M23" s="3" t="n">
        <v>1.6</v>
      </c>
      <c r="N23" s="3" t="s">
        <v>32</v>
      </c>
      <c r="O23" s="3" t="n">
        <v>3.8</v>
      </c>
      <c r="P23" s="3" t="n">
        <f aca="false">O23*1000/24</f>
        <v>158.333333333333</v>
      </c>
      <c r="Q23" s="3" t="n">
        <v>40</v>
      </c>
      <c r="R23" s="3" t="n">
        <v>0</v>
      </c>
      <c r="S23" s="3" t="n">
        <f aca="false">1013.25*(1-0.0000225577*D23)^5.25588+R23</f>
        <v>836.777388056611</v>
      </c>
      <c r="T23" s="3" t="s">
        <v>26</v>
      </c>
    </row>
    <row r="24" customFormat="false" ht="15" hidden="false" customHeight="true" outlineLevel="0" collapsed="false">
      <c r="A24" s="3" t="s">
        <v>55</v>
      </c>
      <c r="B24" s="3" t="n">
        <v>34.08</v>
      </c>
      <c r="C24" s="3" t="n">
        <v>74.8</v>
      </c>
      <c r="D24" s="3" t="n">
        <v>1585</v>
      </c>
      <c r="E24" s="3" t="s">
        <v>56</v>
      </c>
      <c r="F24" s="3" t="s">
        <v>51</v>
      </c>
      <c r="G24" s="3" t="n">
        <v>11</v>
      </c>
      <c r="H24" s="3" t="s">
        <v>49</v>
      </c>
      <c r="I24" s="3" t="s">
        <v>52</v>
      </c>
      <c r="J24" s="3" t="str">
        <f aca="false">A24&amp;"-"&amp;F24</f>
        <v>Srinagar-November</v>
      </c>
      <c r="K24" s="3" t="n">
        <v>10</v>
      </c>
      <c r="L24" s="3" t="n">
        <v>50</v>
      </c>
      <c r="M24" s="3" t="n">
        <v>1.5</v>
      </c>
      <c r="N24" s="3" t="s">
        <v>25</v>
      </c>
      <c r="O24" s="3" t="n">
        <v>3</v>
      </c>
      <c r="P24" s="3" t="n">
        <f aca="false">O24*1000/24</f>
        <v>125</v>
      </c>
      <c r="Q24" s="3" t="n">
        <v>30</v>
      </c>
      <c r="R24" s="3" t="n">
        <v>1</v>
      </c>
      <c r="S24" s="3" t="n">
        <f aca="false">1013.25*(1-0.0000225577*D24)^5.25588+R24</f>
        <v>837.777388056611</v>
      </c>
      <c r="T24" s="3" t="s">
        <v>26</v>
      </c>
    </row>
    <row r="25" customFormat="false" ht="15" hidden="false" customHeight="true" outlineLevel="0" collapsed="false">
      <c r="A25" s="3" t="s">
        <v>55</v>
      </c>
      <c r="B25" s="3" t="n">
        <v>34.08</v>
      </c>
      <c r="C25" s="3" t="n">
        <v>74.8</v>
      </c>
      <c r="D25" s="3" t="n">
        <v>1585</v>
      </c>
      <c r="E25" s="3" t="s">
        <v>56</v>
      </c>
      <c r="F25" s="3" t="s">
        <v>53</v>
      </c>
      <c r="G25" s="3" t="n">
        <v>12</v>
      </c>
      <c r="H25" s="3" t="s">
        <v>23</v>
      </c>
      <c r="I25" s="3" t="s">
        <v>54</v>
      </c>
      <c r="J25" s="3" t="str">
        <f aca="false">A25&amp;"-"&amp;F25</f>
        <v>Srinagar-December</v>
      </c>
      <c r="K25" s="3" t="n">
        <v>5</v>
      </c>
      <c r="L25" s="3" t="n">
        <v>55</v>
      </c>
      <c r="M25" s="3" t="n">
        <v>1.5</v>
      </c>
      <c r="N25" s="3" t="s">
        <v>25</v>
      </c>
      <c r="O25" s="3" t="n">
        <v>2.3</v>
      </c>
      <c r="P25" s="3" t="n">
        <f aca="false">O25*1000/24</f>
        <v>95.8333333333333</v>
      </c>
      <c r="Q25" s="3" t="n">
        <v>50</v>
      </c>
      <c r="R25" s="3" t="n">
        <v>2</v>
      </c>
      <c r="S25" s="3" t="n">
        <f aca="false">1013.25*(1-0.0000225577*D25)^5.25588+R25</f>
        <v>838.777388056611</v>
      </c>
      <c r="T25" s="3" t="s">
        <v>26</v>
      </c>
    </row>
    <row r="26" customFormat="false" ht="15" hidden="false" customHeight="true" outlineLevel="0" collapsed="false">
      <c r="A26" s="3" t="s">
        <v>57</v>
      </c>
      <c r="B26" s="3" t="n">
        <v>28.61</v>
      </c>
      <c r="C26" s="3" t="n">
        <v>77.21</v>
      </c>
      <c r="D26" s="3" t="n">
        <v>216</v>
      </c>
      <c r="E26" s="3" t="s">
        <v>58</v>
      </c>
      <c r="F26" s="3" t="s">
        <v>22</v>
      </c>
      <c r="G26" s="3" t="n">
        <v>1</v>
      </c>
      <c r="H26" s="3" t="s">
        <v>23</v>
      </c>
      <c r="I26" s="3" t="s">
        <v>24</v>
      </c>
      <c r="J26" s="3" t="str">
        <f aca="false">A26&amp;"-"&amp;F26</f>
        <v>Delhi-January</v>
      </c>
      <c r="K26" s="3" t="n">
        <v>14</v>
      </c>
      <c r="L26" s="3" t="n">
        <v>55</v>
      </c>
      <c r="M26" s="3" t="n">
        <v>1.5</v>
      </c>
      <c r="N26" s="3" t="s">
        <v>25</v>
      </c>
      <c r="O26" s="3" t="n">
        <v>3.5</v>
      </c>
      <c r="P26" s="3" t="n">
        <f aca="false">O26*1000/24</f>
        <v>145.833333333333</v>
      </c>
      <c r="Q26" s="3" t="n">
        <v>15</v>
      </c>
      <c r="R26" s="3" t="n">
        <v>2</v>
      </c>
      <c r="S26" s="3" t="n">
        <f aca="false">1013.25*(1-0.0000225577*D26)^5.25588+R26</f>
        <v>989.569220044174</v>
      </c>
      <c r="T26" s="3" t="s">
        <v>26</v>
      </c>
    </row>
    <row r="27" customFormat="false" ht="15" hidden="false" customHeight="true" outlineLevel="0" collapsed="false">
      <c r="A27" s="3" t="s">
        <v>57</v>
      </c>
      <c r="B27" s="3" t="n">
        <v>28.61</v>
      </c>
      <c r="C27" s="3" t="n">
        <v>77.21</v>
      </c>
      <c r="D27" s="3" t="n">
        <v>216</v>
      </c>
      <c r="E27" s="3" t="s">
        <v>58</v>
      </c>
      <c r="F27" s="3" t="s">
        <v>27</v>
      </c>
      <c r="G27" s="3" t="n">
        <v>2</v>
      </c>
      <c r="H27" s="3" t="s">
        <v>23</v>
      </c>
      <c r="I27" s="3" t="s">
        <v>28</v>
      </c>
      <c r="J27" s="3" t="str">
        <f aca="false">A27&amp;"-"&amp;F27</f>
        <v>Delhi-February</v>
      </c>
      <c r="K27" s="3" t="n">
        <v>17</v>
      </c>
      <c r="L27" s="3" t="n">
        <v>50</v>
      </c>
      <c r="M27" s="3" t="n">
        <v>2</v>
      </c>
      <c r="N27" s="3" t="s">
        <v>25</v>
      </c>
      <c r="O27" s="3" t="n">
        <v>4.2</v>
      </c>
      <c r="P27" s="3" t="n">
        <f aca="false">O27*1000/24</f>
        <v>175</v>
      </c>
      <c r="Q27" s="3" t="n">
        <v>15</v>
      </c>
      <c r="R27" s="3" t="n">
        <v>1.5</v>
      </c>
      <c r="S27" s="3" t="n">
        <f aca="false">1013.25*(1-0.0000225577*D27)^5.25588+R27</f>
        <v>989.069220044174</v>
      </c>
      <c r="T27" s="3" t="s">
        <v>26</v>
      </c>
    </row>
    <row r="28" customFormat="false" ht="15" hidden="false" customHeight="true" outlineLevel="0" collapsed="false">
      <c r="A28" s="3" t="s">
        <v>57</v>
      </c>
      <c r="B28" s="3" t="n">
        <v>28.61</v>
      </c>
      <c r="C28" s="3" t="n">
        <v>77.21</v>
      </c>
      <c r="D28" s="3" t="n">
        <v>216</v>
      </c>
      <c r="E28" s="3" t="s">
        <v>58</v>
      </c>
      <c r="F28" s="3" t="s">
        <v>29</v>
      </c>
      <c r="G28" s="3" t="n">
        <v>3</v>
      </c>
      <c r="H28" s="3" t="s">
        <v>30</v>
      </c>
      <c r="I28" s="3" t="s">
        <v>31</v>
      </c>
      <c r="J28" s="3" t="str">
        <f aca="false">A28&amp;"-"&amp;F28</f>
        <v>Delhi-March</v>
      </c>
      <c r="K28" s="3" t="n">
        <v>23</v>
      </c>
      <c r="L28" s="3" t="n">
        <v>40</v>
      </c>
      <c r="M28" s="3" t="n">
        <v>2.5</v>
      </c>
      <c r="N28" s="3" t="s">
        <v>32</v>
      </c>
      <c r="O28" s="3" t="n">
        <v>5.2</v>
      </c>
      <c r="P28" s="3" t="n">
        <f aca="false">O28*1000/24</f>
        <v>216.666666666667</v>
      </c>
      <c r="Q28" s="3" t="n">
        <v>12</v>
      </c>
      <c r="R28" s="3" t="n">
        <v>1</v>
      </c>
      <c r="S28" s="3" t="n">
        <f aca="false">1013.25*(1-0.0000225577*D28)^5.25588+R28</f>
        <v>988.569220044174</v>
      </c>
      <c r="T28" s="3" t="s">
        <v>26</v>
      </c>
    </row>
    <row r="29" customFormat="false" ht="15" hidden="false" customHeight="true" outlineLevel="0" collapsed="false">
      <c r="A29" s="3" t="s">
        <v>57</v>
      </c>
      <c r="B29" s="3" t="n">
        <v>28.61</v>
      </c>
      <c r="C29" s="3" t="n">
        <v>77.21</v>
      </c>
      <c r="D29" s="3" t="n">
        <v>216</v>
      </c>
      <c r="E29" s="3" t="s">
        <v>58</v>
      </c>
      <c r="F29" s="3" t="s">
        <v>33</v>
      </c>
      <c r="G29" s="3" t="n">
        <v>4</v>
      </c>
      <c r="H29" s="3" t="s">
        <v>30</v>
      </c>
      <c r="I29" s="3" t="s">
        <v>34</v>
      </c>
      <c r="J29" s="3" t="str">
        <f aca="false">A29&amp;"-"&amp;F29</f>
        <v>Delhi-April</v>
      </c>
      <c r="K29" s="3" t="n">
        <v>30</v>
      </c>
      <c r="L29" s="3" t="n">
        <v>30</v>
      </c>
      <c r="M29" s="3" t="n">
        <v>3</v>
      </c>
      <c r="N29" s="3" t="s">
        <v>32</v>
      </c>
      <c r="O29" s="3" t="n">
        <v>6</v>
      </c>
      <c r="P29" s="3" t="n">
        <f aca="false">O29*1000/24</f>
        <v>250</v>
      </c>
      <c r="Q29" s="3" t="n">
        <v>8</v>
      </c>
      <c r="R29" s="3" t="n">
        <v>0</v>
      </c>
      <c r="S29" s="3" t="n">
        <f aca="false">1013.25*(1-0.0000225577*D29)^5.25588+R29</f>
        <v>987.569220044174</v>
      </c>
      <c r="T29" s="3" t="s">
        <v>26</v>
      </c>
    </row>
    <row r="30" customFormat="false" ht="15" hidden="false" customHeight="true" outlineLevel="0" collapsed="false">
      <c r="A30" s="3" t="s">
        <v>57</v>
      </c>
      <c r="B30" s="3" t="n">
        <v>28.61</v>
      </c>
      <c r="C30" s="3" t="n">
        <v>77.21</v>
      </c>
      <c r="D30" s="3" t="n">
        <v>216</v>
      </c>
      <c r="E30" s="3" t="s">
        <v>58</v>
      </c>
      <c r="F30" s="3" t="s">
        <v>35</v>
      </c>
      <c r="G30" s="3" t="n">
        <v>5</v>
      </c>
      <c r="H30" s="3" t="s">
        <v>36</v>
      </c>
      <c r="I30" s="3" t="s">
        <v>37</v>
      </c>
      <c r="J30" s="3" t="str">
        <f aca="false">A30&amp;"-"&amp;F30</f>
        <v>Delhi-May</v>
      </c>
      <c r="K30" s="3" t="n">
        <v>34</v>
      </c>
      <c r="L30" s="3" t="n">
        <v>35</v>
      </c>
      <c r="M30" s="3" t="n">
        <v>3.5</v>
      </c>
      <c r="N30" s="3" t="s">
        <v>38</v>
      </c>
      <c r="O30" s="3" t="n">
        <v>6.3</v>
      </c>
      <c r="P30" s="3" t="n">
        <f aca="false">O30*1000/24</f>
        <v>262.5</v>
      </c>
      <c r="Q30" s="3" t="n">
        <v>15</v>
      </c>
      <c r="R30" s="3" t="n">
        <v>-1</v>
      </c>
      <c r="S30" s="3" t="n">
        <f aca="false">1013.25*(1-0.0000225577*D30)^5.25588+R30</f>
        <v>986.569220044174</v>
      </c>
      <c r="T30" s="3" t="s">
        <v>26</v>
      </c>
    </row>
    <row r="31" customFormat="false" ht="15" hidden="false" customHeight="true" outlineLevel="0" collapsed="false">
      <c r="A31" s="3" t="s">
        <v>57</v>
      </c>
      <c r="B31" s="3" t="n">
        <v>28.61</v>
      </c>
      <c r="C31" s="3" t="n">
        <v>77.21</v>
      </c>
      <c r="D31" s="3" t="n">
        <v>216</v>
      </c>
      <c r="E31" s="3" t="s">
        <v>58</v>
      </c>
      <c r="F31" s="3" t="s">
        <v>39</v>
      </c>
      <c r="G31" s="3" t="n">
        <v>6</v>
      </c>
      <c r="H31" s="3" t="s">
        <v>40</v>
      </c>
      <c r="I31" s="3" t="s">
        <v>41</v>
      </c>
      <c r="J31" s="3" t="str">
        <f aca="false">A31&amp;"-"&amp;F31</f>
        <v>Delhi-June</v>
      </c>
      <c r="K31" s="3" t="n">
        <v>34</v>
      </c>
      <c r="L31" s="3" t="n">
        <v>55</v>
      </c>
      <c r="M31" s="3" t="n">
        <v>3.5</v>
      </c>
      <c r="N31" s="3" t="s">
        <v>38</v>
      </c>
      <c r="O31" s="3" t="n">
        <v>5.8</v>
      </c>
      <c r="P31" s="3" t="n">
        <f aca="false">O31*1000/24</f>
        <v>241.666666666667</v>
      </c>
      <c r="Q31" s="3" t="n">
        <v>60</v>
      </c>
      <c r="R31" s="3" t="n">
        <v>-2</v>
      </c>
      <c r="S31" s="3" t="n">
        <f aca="false">1013.25*(1-0.0000225577*D31)^5.25588+R31</f>
        <v>985.569220044174</v>
      </c>
      <c r="T31" s="3" t="s">
        <v>26</v>
      </c>
    </row>
    <row r="32" customFormat="false" ht="15" hidden="false" customHeight="true" outlineLevel="0" collapsed="false">
      <c r="A32" s="3" t="s">
        <v>57</v>
      </c>
      <c r="B32" s="3" t="n">
        <v>28.61</v>
      </c>
      <c r="C32" s="3" t="n">
        <v>77.21</v>
      </c>
      <c r="D32" s="3" t="n">
        <v>216</v>
      </c>
      <c r="E32" s="3" t="s">
        <v>58</v>
      </c>
      <c r="F32" s="3" t="s">
        <v>42</v>
      </c>
      <c r="G32" s="3" t="n">
        <v>7</v>
      </c>
      <c r="H32" s="3" t="s">
        <v>40</v>
      </c>
      <c r="I32" s="3" t="s">
        <v>43</v>
      </c>
      <c r="J32" s="3" t="str">
        <f aca="false">A32&amp;"-"&amp;F32</f>
        <v>Delhi-July</v>
      </c>
      <c r="K32" s="3" t="n">
        <v>31</v>
      </c>
      <c r="L32" s="3" t="n">
        <v>75</v>
      </c>
      <c r="M32" s="3" t="n">
        <v>3</v>
      </c>
      <c r="N32" s="3" t="s">
        <v>38</v>
      </c>
      <c r="O32" s="3" t="n">
        <v>4.5</v>
      </c>
      <c r="P32" s="3" t="n">
        <f aca="false">O32*1000/24</f>
        <v>187.5</v>
      </c>
      <c r="Q32" s="3" t="n">
        <v>180</v>
      </c>
      <c r="R32" s="3" t="n">
        <v>-2</v>
      </c>
      <c r="S32" s="3" t="n">
        <f aca="false">1013.25*(1-0.0000225577*D32)^5.25588+R32</f>
        <v>985.569220044174</v>
      </c>
      <c r="T32" s="3" t="s">
        <v>26</v>
      </c>
    </row>
    <row r="33" customFormat="false" ht="15" hidden="false" customHeight="true" outlineLevel="0" collapsed="false">
      <c r="A33" s="3" t="s">
        <v>57</v>
      </c>
      <c r="B33" s="3" t="n">
        <v>28.61</v>
      </c>
      <c r="C33" s="3" t="n">
        <v>77.21</v>
      </c>
      <c r="D33" s="3" t="n">
        <v>216</v>
      </c>
      <c r="E33" s="3" t="s">
        <v>58</v>
      </c>
      <c r="F33" s="3" t="s">
        <v>44</v>
      </c>
      <c r="G33" s="3" t="n">
        <v>8</v>
      </c>
      <c r="H33" s="3" t="s">
        <v>40</v>
      </c>
      <c r="I33" s="3" t="s">
        <v>45</v>
      </c>
      <c r="J33" s="3" t="str">
        <f aca="false">A33&amp;"-"&amp;F33</f>
        <v>Delhi-August</v>
      </c>
      <c r="K33" s="3" t="n">
        <v>30</v>
      </c>
      <c r="L33" s="3" t="n">
        <v>80</v>
      </c>
      <c r="M33" s="3" t="n">
        <v>2.5</v>
      </c>
      <c r="N33" s="3" t="s">
        <v>38</v>
      </c>
      <c r="O33" s="3" t="n">
        <v>4.2</v>
      </c>
      <c r="P33" s="3" t="n">
        <f aca="false">O33*1000/24</f>
        <v>175</v>
      </c>
      <c r="Q33" s="3" t="n">
        <v>180</v>
      </c>
      <c r="R33" s="3" t="n">
        <v>-2</v>
      </c>
      <c r="S33" s="3" t="n">
        <f aca="false">1013.25*(1-0.0000225577*D33)^5.25588+R33</f>
        <v>985.569220044174</v>
      </c>
      <c r="T33" s="3" t="s">
        <v>26</v>
      </c>
    </row>
    <row r="34" customFormat="false" ht="15" hidden="false" customHeight="true" outlineLevel="0" collapsed="false">
      <c r="A34" s="3" t="s">
        <v>57</v>
      </c>
      <c r="B34" s="3" t="n">
        <v>28.61</v>
      </c>
      <c r="C34" s="3" t="n">
        <v>77.21</v>
      </c>
      <c r="D34" s="3" t="n">
        <v>216</v>
      </c>
      <c r="E34" s="3" t="s">
        <v>58</v>
      </c>
      <c r="F34" s="3" t="s">
        <v>46</v>
      </c>
      <c r="G34" s="3" t="n">
        <v>9</v>
      </c>
      <c r="H34" s="3" t="s">
        <v>40</v>
      </c>
      <c r="I34" s="3" t="s">
        <v>47</v>
      </c>
      <c r="J34" s="3" t="str">
        <f aca="false">A34&amp;"-"&amp;F34</f>
        <v>Delhi-September</v>
      </c>
      <c r="K34" s="3" t="n">
        <v>29</v>
      </c>
      <c r="L34" s="3" t="n">
        <v>70</v>
      </c>
      <c r="M34" s="3" t="n">
        <v>2</v>
      </c>
      <c r="N34" s="3" t="s">
        <v>32</v>
      </c>
      <c r="O34" s="3" t="n">
        <v>4.8</v>
      </c>
      <c r="P34" s="3" t="n">
        <f aca="false">O34*1000/24</f>
        <v>200</v>
      </c>
      <c r="Q34" s="3" t="n">
        <v>120</v>
      </c>
      <c r="R34" s="3" t="n">
        <v>-1</v>
      </c>
      <c r="S34" s="3" t="n">
        <f aca="false">1013.25*(1-0.0000225577*D34)^5.25588+R34</f>
        <v>986.569220044174</v>
      </c>
      <c r="T34" s="3" t="s">
        <v>26</v>
      </c>
    </row>
    <row r="35" customFormat="false" ht="15" hidden="false" customHeight="true" outlineLevel="0" collapsed="false">
      <c r="A35" s="3" t="s">
        <v>57</v>
      </c>
      <c r="B35" s="3" t="n">
        <v>28.61</v>
      </c>
      <c r="C35" s="3" t="n">
        <v>77.21</v>
      </c>
      <c r="D35" s="3" t="n">
        <v>216</v>
      </c>
      <c r="E35" s="3" t="s">
        <v>58</v>
      </c>
      <c r="F35" s="3" t="s">
        <v>48</v>
      </c>
      <c r="G35" s="3" t="n">
        <v>10</v>
      </c>
      <c r="H35" s="3" t="s">
        <v>49</v>
      </c>
      <c r="I35" s="3" t="s">
        <v>50</v>
      </c>
      <c r="J35" s="3" t="str">
        <f aca="false">A35&amp;"-"&amp;F35</f>
        <v>Delhi-October</v>
      </c>
      <c r="K35" s="3" t="n">
        <v>26</v>
      </c>
      <c r="L35" s="3" t="n">
        <v>50</v>
      </c>
      <c r="M35" s="3" t="n">
        <v>1.8</v>
      </c>
      <c r="N35" s="3" t="s">
        <v>59</v>
      </c>
      <c r="O35" s="3" t="n">
        <v>4.5</v>
      </c>
      <c r="P35" s="3" t="n">
        <f aca="false">O35*1000/24</f>
        <v>187.5</v>
      </c>
      <c r="Q35" s="3" t="n">
        <v>20</v>
      </c>
      <c r="R35" s="3" t="n">
        <v>0</v>
      </c>
      <c r="S35" s="3" t="n">
        <f aca="false">1013.25*(1-0.0000225577*D35)^5.25588+R35</f>
        <v>987.569220044174</v>
      </c>
      <c r="T35" s="3" t="s">
        <v>26</v>
      </c>
    </row>
    <row r="36" customFormat="false" ht="15" hidden="false" customHeight="true" outlineLevel="0" collapsed="false">
      <c r="A36" s="3" t="s">
        <v>57</v>
      </c>
      <c r="B36" s="3" t="n">
        <v>28.61</v>
      </c>
      <c r="C36" s="3" t="n">
        <v>77.21</v>
      </c>
      <c r="D36" s="3" t="n">
        <v>216</v>
      </c>
      <c r="E36" s="3" t="s">
        <v>58</v>
      </c>
      <c r="F36" s="3" t="s">
        <v>51</v>
      </c>
      <c r="G36" s="3" t="n">
        <v>11</v>
      </c>
      <c r="H36" s="3" t="s">
        <v>49</v>
      </c>
      <c r="I36" s="3" t="s">
        <v>52</v>
      </c>
      <c r="J36" s="3" t="str">
        <f aca="false">A36&amp;"-"&amp;F36</f>
        <v>Delhi-November</v>
      </c>
      <c r="K36" s="3" t="n">
        <v>19</v>
      </c>
      <c r="L36" s="3" t="n">
        <v>50</v>
      </c>
      <c r="M36" s="3" t="n">
        <v>1.5</v>
      </c>
      <c r="N36" s="3" t="s">
        <v>25</v>
      </c>
      <c r="O36" s="3" t="n">
        <v>3.8</v>
      </c>
      <c r="P36" s="3" t="n">
        <f aca="false">O36*1000/24</f>
        <v>158.333333333333</v>
      </c>
      <c r="Q36" s="3" t="n">
        <v>5</v>
      </c>
      <c r="R36" s="3" t="n">
        <v>1</v>
      </c>
      <c r="S36" s="3" t="n">
        <f aca="false">1013.25*(1-0.0000225577*D36)^5.25588+R36</f>
        <v>988.569220044174</v>
      </c>
      <c r="T36" s="3" t="s">
        <v>26</v>
      </c>
    </row>
    <row r="37" customFormat="false" ht="15" hidden="false" customHeight="true" outlineLevel="0" collapsed="false">
      <c r="A37" s="3" t="s">
        <v>57</v>
      </c>
      <c r="B37" s="3" t="n">
        <v>28.61</v>
      </c>
      <c r="C37" s="3" t="n">
        <v>77.21</v>
      </c>
      <c r="D37" s="3" t="n">
        <v>216</v>
      </c>
      <c r="E37" s="3" t="s">
        <v>58</v>
      </c>
      <c r="F37" s="3" t="s">
        <v>53</v>
      </c>
      <c r="G37" s="3" t="n">
        <v>12</v>
      </c>
      <c r="H37" s="3" t="s">
        <v>23</v>
      </c>
      <c r="I37" s="3" t="s">
        <v>54</v>
      </c>
      <c r="J37" s="3" t="str">
        <f aca="false">A37&amp;"-"&amp;F37</f>
        <v>Delhi-December</v>
      </c>
      <c r="K37" s="3" t="n">
        <v>14</v>
      </c>
      <c r="L37" s="3" t="n">
        <v>55</v>
      </c>
      <c r="M37" s="3" t="n">
        <v>1.5</v>
      </c>
      <c r="N37" s="3" t="s">
        <v>25</v>
      </c>
      <c r="O37" s="3" t="n">
        <v>3.3</v>
      </c>
      <c r="P37" s="3" t="n">
        <f aca="false">O37*1000/24</f>
        <v>137.5</v>
      </c>
      <c r="Q37" s="3" t="n">
        <v>10</v>
      </c>
      <c r="R37" s="3" t="n">
        <v>2</v>
      </c>
      <c r="S37" s="3" t="n">
        <f aca="false">1013.25*(1-0.0000225577*D37)^5.25588+R37</f>
        <v>989.569220044174</v>
      </c>
      <c r="T37" s="3" t="s">
        <v>26</v>
      </c>
    </row>
    <row r="38" customFormat="false" ht="15" hidden="false" customHeight="true" outlineLevel="0" collapsed="false">
      <c r="A38" s="3" t="s">
        <v>60</v>
      </c>
      <c r="B38" s="3" t="n">
        <v>26.91</v>
      </c>
      <c r="C38" s="3" t="n">
        <v>70.9</v>
      </c>
      <c r="D38" s="3" t="n">
        <v>225</v>
      </c>
      <c r="E38" s="3" t="s">
        <v>61</v>
      </c>
      <c r="F38" s="3" t="s">
        <v>22</v>
      </c>
      <c r="G38" s="3" t="n">
        <v>1</v>
      </c>
      <c r="H38" s="3" t="s">
        <v>23</v>
      </c>
      <c r="I38" s="3" t="s">
        <v>24</v>
      </c>
      <c r="J38" s="3" t="str">
        <f aca="false">A38&amp;"-"&amp;F38</f>
        <v>Jaisalmer-January</v>
      </c>
      <c r="K38" s="3" t="n">
        <v>15</v>
      </c>
      <c r="L38" s="3" t="n">
        <v>35</v>
      </c>
      <c r="M38" s="3" t="n">
        <v>2</v>
      </c>
      <c r="N38" s="3" t="s">
        <v>59</v>
      </c>
      <c r="O38" s="3" t="n">
        <v>4.5</v>
      </c>
      <c r="P38" s="3" t="n">
        <f aca="false">O38*1000/24</f>
        <v>187.5</v>
      </c>
      <c r="Q38" s="3" t="n">
        <v>3</v>
      </c>
      <c r="R38" s="3" t="n">
        <v>2</v>
      </c>
      <c r="S38" s="3" t="n">
        <f aca="false">1013.25*(1-0.0000225577*D38)^5.25588+R38</f>
        <v>988.510739133655</v>
      </c>
      <c r="T38" s="3" t="s">
        <v>26</v>
      </c>
    </row>
    <row r="39" customFormat="false" ht="15" hidden="false" customHeight="true" outlineLevel="0" collapsed="false">
      <c r="A39" s="3" t="s">
        <v>60</v>
      </c>
      <c r="B39" s="3" t="n">
        <v>26.91</v>
      </c>
      <c r="C39" s="3" t="n">
        <v>70.9</v>
      </c>
      <c r="D39" s="3" t="n">
        <v>225</v>
      </c>
      <c r="E39" s="3" t="s">
        <v>61</v>
      </c>
      <c r="F39" s="3" t="s">
        <v>27</v>
      </c>
      <c r="G39" s="3" t="n">
        <v>2</v>
      </c>
      <c r="H39" s="3" t="s">
        <v>23</v>
      </c>
      <c r="I39" s="3" t="s">
        <v>28</v>
      </c>
      <c r="J39" s="3" t="str">
        <f aca="false">A39&amp;"-"&amp;F39</f>
        <v>Jaisalmer-February</v>
      </c>
      <c r="K39" s="3" t="n">
        <v>19</v>
      </c>
      <c r="L39" s="3" t="n">
        <v>30</v>
      </c>
      <c r="M39" s="3" t="n">
        <v>2.5</v>
      </c>
      <c r="N39" s="3" t="s">
        <v>59</v>
      </c>
      <c r="O39" s="3" t="n">
        <v>5.2</v>
      </c>
      <c r="P39" s="3" t="n">
        <f aca="false">O39*1000/24</f>
        <v>216.666666666667</v>
      </c>
      <c r="Q39" s="3" t="n">
        <v>3</v>
      </c>
      <c r="R39" s="3" t="n">
        <v>1.5</v>
      </c>
      <c r="S39" s="3" t="n">
        <f aca="false">1013.25*(1-0.0000225577*D39)^5.25588+R39</f>
        <v>988.010739133655</v>
      </c>
      <c r="T39" s="3" t="s">
        <v>26</v>
      </c>
    </row>
    <row r="40" customFormat="false" ht="15" hidden="false" customHeight="true" outlineLevel="0" collapsed="false">
      <c r="A40" s="3" t="s">
        <v>60</v>
      </c>
      <c r="B40" s="3" t="n">
        <v>26.91</v>
      </c>
      <c r="C40" s="3" t="n">
        <v>70.9</v>
      </c>
      <c r="D40" s="3" t="n">
        <v>225</v>
      </c>
      <c r="E40" s="3" t="s">
        <v>61</v>
      </c>
      <c r="F40" s="3" t="s">
        <v>29</v>
      </c>
      <c r="G40" s="3" t="n">
        <v>3</v>
      </c>
      <c r="H40" s="3" t="s">
        <v>30</v>
      </c>
      <c r="I40" s="3" t="s">
        <v>31</v>
      </c>
      <c r="J40" s="3" t="str">
        <f aca="false">A40&amp;"-"&amp;F40</f>
        <v>Jaisalmer-March</v>
      </c>
      <c r="K40" s="3" t="n">
        <v>25</v>
      </c>
      <c r="L40" s="3" t="n">
        <v>25</v>
      </c>
      <c r="M40" s="3" t="n">
        <v>3.5</v>
      </c>
      <c r="N40" s="3" t="s">
        <v>32</v>
      </c>
      <c r="O40" s="3" t="n">
        <v>6</v>
      </c>
      <c r="P40" s="3" t="n">
        <f aca="false">O40*1000/24</f>
        <v>250</v>
      </c>
      <c r="Q40" s="3" t="n">
        <v>2</v>
      </c>
      <c r="R40" s="3" t="n">
        <v>1</v>
      </c>
      <c r="S40" s="3" t="n">
        <f aca="false">1013.25*(1-0.0000225577*D40)^5.25588+R40</f>
        <v>987.510739133655</v>
      </c>
      <c r="T40" s="3" t="s">
        <v>26</v>
      </c>
    </row>
    <row r="41" customFormat="false" ht="15" hidden="false" customHeight="true" outlineLevel="0" collapsed="false">
      <c r="A41" s="3" t="s">
        <v>60</v>
      </c>
      <c r="B41" s="3" t="n">
        <v>26.91</v>
      </c>
      <c r="C41" s="3" t="n">
        <v>70.9</v>
      </c>
      <c r="D41" s="3" t="n">
        <v>225</v>
      </c>
      <c r="E41" s="3" t="s">
        <v>61</v>
      </c>
      <c r="F41" s="3" t="s">
        <v>33</v>
      </c>
      <c r="G41" s="3" t="n">
        <v>4</v>
      </c>
      <c r="H41" s="3" t="s">
        <v>30</v>
      </c>
      <c r="I41" s="3" t="s">
        <v>34</v>
      </c>
      <c r="J41" s="3" t="str">
        <f aca="false">A41&amp;"-"&amp;F41</f>
        <v>Jaisalmer-April</v>
      </c>
      <c r="K41" s="3" t="n">
        <v>32</v>
      </c>
      <c r="L41" s="3" t="n">
        <v>20</v>
      </c>
      <c r="M41" s="3" t="n">
        <v>4.5</v>
      </c>
      <c r="N41" s="3" t="s">
        <v>32</v>
      </c>
      <c r="O41" s="3" t="n">
        <v>6.8</v>
      </c>
      <c r="P41" s="3" t="n">
        <f aca="false">O41*1000/24</f>
        <v>283.333333333333</v>
      </c>
      <c r="Q41" s="3" t="n">
        <v>2</v>
      </c>
      <c r="R41" s="3" t="n">
        <v>0</v>
      </c>
      <c r="S41" s="3" t="n">
        <f aca="false">1013.25*(1-0.0000225577*D41)^5.25588+R41</f>
        <v>986.510739133655</v>
      </c>
      <c r="T41" s="3" t="s">
        <v>26</v>
      </c>
    </row>
    <row r="42" customFormat="false" ht="15" hidden="false" customHeight="true" outlineLevel="0" collapsed="false">
      <c r="A42" s="3" t="s">
        <v>60</v>
      </c>
      <c r="B42" s="3" t="n">
        <v>26.91</v>
      </c>
      <c r="C42" s="3" t="n">
        <v>70.9</v>
      </c>
      <c r="D42" s="3" t="n">
        <v>225</v>
      </c>
      <c r="E42" s="3" t="s">
        <v>61</v>
      </c>
      <c r="F42" s="3" t="s">
        <v>35</v>
      </c>
      <c r="G42" s="3" t="n">
        <v>5</v>
      </c>
      <c r="H42" s="3" t="s">
        <v>36</v>
      </c>
      <c r="I42" s="3" t="s">
        <v>37</v>
      </c>
      <c r="J42" s="3" t="str">
        <f aca="false">A42&amp;"-"&amp;F42</f>
        <v>Jaisalmer-May</v>
      </c>
      <c r="K42" s="3" t="n">
        <v>37</v>
      </c>
      <c r="L42" s="3" t="n">
        <v>20</v>
      </c>
      <c r="M42" s="3" t="n">
        <v>5</v>
      </c>
      <c r="N42" s="3" t="s">
        <v>38</v>
      </c>
      <c r="O42" s="3" t="n">
        <v>7</v>
      </c>
      <c r="P42" s="3" t="n">
        <f aca="false">O42*1000/24</f>
        <v>291.666666666667</v>
      </c>
      <c r="Q42" s="3" t="n">
        <v>5</v>
      </c>
      <c r="R42" s="3" t="n">
        <v>-1</v>
      </c>
      <c r="S42" s="3" t="n">
        <f aca="false">1013.25*(1-0.0000225577*D42)^5.25588+R42</f>
        <v>985.510739133655</v>
      </c>
      <c r="T42" s="3" t="s">
        <v>26</v>
      </c>
    </row>
    <row r="43" customFormat="false" ht="15" hidden="false" customHeight="true" outlineLevel="0" collapsed="false">
      <c r="A43" s="3" t="s">
        <v>60</v>
      </c>
      <c r="B43" s="3" t="n">
        <v>26.91</v>
      </c>
      <c r="C43" s="3" t="n">
        <v>70.9</v>
      </c>
      <c r="D43" s="3" t="n">
        <v>225</v>
      </c>
      <c r="E43" s="3" t="s">
        <v>61</v>
      </c>
      <c r="F43" s="3" t="s">
        <v>39</v>
      </c>
      <c r="G43" s="3" t="n">
        <v>6</v>
      </c>
      <c r="H43" s="3" t="s">
        <v>40</v>
      </c>
      <c r="I43" s="3" t="s">
        <v>41</v>
      </c>
      <c r="J43" s="3" t="str">
        <f aca="false">A43&amp;"-"&amp;F43</f>
        <v>Jaisalmer-June</v>
      </c>
      <c r="K43" s="3" t="n">
        <v>38</v>
      </c>
      <c r="L43" s="3" t="n">
        <v>30</v>
      </c>
      <c r="M43" s="3" t="n">
        <v>4.5</v>
      </c>
      <c r="N43" s="3" t="s">
        <v>38</v>
      </c>
      <c r="O43" s="3" t="n">
        <v>6.5</v>
      </c>
      <c r="P43" s="3" t="n">
        <f aca="false">O43*1000/24</f>
        <v>270.833333333333</v>
      </c>
      <c r="Q43" s="3" t="n">
        <v>15</v>
      </c>
      <c r="R43" s="3" t="n">
        <v>-2</v>
      </c>
      <c r="S43" s="3" t="n">
        <f aca="false">1013.25*(1-0.0000225577*D43)^5.25588+R43</f>
        <v>984.510739133655</v>
      </c>
      <c r="T43" s="3" t="s">
        <v>26</v>
      </c>
    </row>
    <row r="44" customFormat="false" ht="15" hidden="false" customHeight="true" outlineLevel="0" collapsed="false">
      <c r="A44" s="3" t="s">
        <v>60</v>
      </c>
      <c r="B44" s="3" t="n">
        <v>26.91</v>
      </c>
      <c r="C44" s="3" t="n">
        <v>70.9</v>
      </c>
      <c r="D44" s="3" t="n">
        <v>225</v>
      </c>
      <c r="E44" s="3" t="s">
        <v>61</v>
      </c>
      <c r="F44" s="3" t="s">
        <v>42</v>
      </c>
      <c r="G44" s="3" t="n">
        <v>7</v>
      </c>
      <c r="H44" s="3" t="s">
        <v>40</v>
      </c>
      <c r="I44" s="3" t="s">
        <v>43</v>
      </c>
      <c r="J44" s="3" t="str">
        <f aca="false">A44&amp;"-"&amp;F44</f>
        <v>Jaisalmer-July</v>
      </c>
      <c r="K44" s="3" t="n">
        <v>34</v>
      </c>
      <c r="L44" s="3" t="n">
        <v>50</v>
      </c>
      <c r="M44" s="3" t="n">
        <v>3.5</v>
      </c>
      <c r="N44" s="3" t="s">
        <v>38</v>
      </c>
      <c r="O44" s="3" t="n">
        <v>5.5</v>
      </c>
      <c r="P44" s="3" t="n">
        <f aca="false">O44*1000/24</f>
        <v>229.166666666667</v>
      </c>
      <c r="Q44" s="3" t="n">
        <v>60</v>
      </c>
      <c r="R44" s="3" t="n">
        <v>-2</v>
      </c>
      <c r="S44" s="3" t="n">
        <f aca="false">1013.25*(1-0.0000225577*D44)^5.25588+R44</f>
        <v>984.510739133655</v>
      </c>
      <c r="T44" s="3" t="s">
        <v>26</v>
      </c>
    </row>
    <row r="45" customFormat="false" ht="15" hidden="false" customHeight="true" outlineLevel="0" collapsed="false">
      <c r="A45" s="3" t="s">
        <v>60</v>
      </c>
      <c r="B45" s="3" t="n">
        <v>26.91</v>
      </c>
      <c r="C45" s="3" t="n">
        <v>70.9</v>
      </c>
      <c r="D45" s="3" t="n">
        <v>225</v>
      </c>
      <c r="E45" s="3" t="s">
        <v>61</v>
      </c>
      <c r="F45" s="3" t="s">
        <v>44</v>
      </c>
      <c r="G45" s="3" t="n">
        <v>8</v>
      </c>
      <c r="H45" s="3" t="s">
        <v>40</v>
      </c>
      <c r="I45" s="3" t="s">
        <v>45</v>
      </c>
      <c r="J45" s="3" t="str">
        <f aca="false">A45&amp;"-"&amp;F45</f>
        <v>Jaisalmer-August</v>
      </c>
      <c r="K45" s="3" t="n">
        <v>32</v>
      </c>
      <c r="L45" s="3" t="n">
        <v>55</v>
      </c>
      <c r="M45" s="3" t="n">
        <v>3</v>
      </c>
      <c r="N45" s="3" t="s">
        <v>38</v>
      </c>
      <c r="O45" s="3" t="n">
        <v>5.3</v>
      </c>
      <c r="P45" s="3" t="n">
        <f aca="false">O45*1000/24</f>
        <v>220.833333333333</v>
      </c>
      <c r="Q45" s="3" t="n">
        <v>70</v>
      </c>
      <c r="R45" s="3" t="n">
        <v>-2</v>
      </c>
      <c r="S45" s="3" t="n">
        <f aca="false">1013.25*(1-0.0000225577*D45)^5.25588+R45</f>
        <v>984.510739133655</v>
      </c>
      <c r="T45" s="3" t="s">
        <v>26</v>
      </c>
    </row>
    <row r="46" customFormat="false" ht="15" hidden="false" customHeight="true" outlineLevel="0" collapsed="false">
      <c r="A46" s="3" t="s">
        <v>60</v>
      </c>
      <c r="B46" s="3" t="n">
        <v>26.91</v>
      </c>
      <c r="C46" s="3" t="n">
        <v>70.9</v>
      </c>
      <c r="D46" s="3" t="n">
        <v>225</v>
      </c>
      <c r="E46" s="3" t="s">
        <v>61</v>
      </c>
      <c r="F46" s="3" t="s">
        <v>46</v>
      </c>
      <c r="G46" s="3" t="n">
        <v>9</v>
      </c>
      <c r="H46" s="3" t="s">
        <v>40</v>
      </c>
      <c r="I46" s="3" t="s">
        <v>47</v>
      </c>
      <c r="J46" s="3" t="str">
        <f aca="false">A46&amp;"-"&amp;F46</f>
        <v>Jaisalmer-September</v>
      </c>
      <c r="K46" s="3" t="n">
        <v>32</v>
      </c>
      <c r="L46" s="3" t="n">
        <v>45</v>
      </c>
      <c r="M46" s="3" t="n">
        <v>2.5</v>
      </c>
      <c r="N46" s="3" t="s">
        <v>32</v>
      </c>
      <c r="O46" s="3" t="n">
        <v>5.8</v>
      </c>
      <c r="P46" s="3" t="n">
        <f aca="false">O46*1000/24</f>
        <v>241.666666666667</v>
      </c>
      <c r="Q46" s="3" t="n">
        <v>25</v>
      </c>
      <c r="R46" s="3" t="n">
        <v>-1</v>
      </c>
      <c r="S46" s="3" t="n">
        <f aca="false">1013.25*(1-0.0000225577*D46)^5.25588+R46</f>
        <v>985.510739133655</v>
      </c>
      <c r="T46" s="3" t="s">
        <v>26</v>
      </c>
    </row>
    <row r="47" customFormat="false" ht="15" hidden="false" customHeight="true" outlineLevel="0" collapsed="false">
      <c r="A47" s="3" t="s">
        <v>60</v>
      </c>
      <c r="B47" s="3" t="n">
        <v>26.91</v>
      </c>
      <c r="C47" s="3" t="n">
        <v>70.9</v>
      </c>
      <c r="D47" s="3" t="n">
        <v>225</v>
      </c>
      <c r="E47" s="3" t="s">
        <v>61</v>
      </c>
      <c r="F47" s="3" t="s">
        <v>48</v>
      </c>
      <c r="G47" s="3" t="n">
        <v>10</v>
      </c>
      <c r="H47" s="3" t="s">
        <v>49</v>
      </c>
      <c r="I47" s="3" t="s">
        <v>50</v>
      </c>
      <c r="J47" s="3" t="str">
        <f aca="false">A47&amp;"-"&amp;F47</f>
        <v>Jaisalmer-October</v>
      </c>
      <c r="K47" s="3" t="n">
        <v>28</v>
      </c>
      <c r="L47" s="3" t="n">
        <v>25</v>
      </c>
      <c r="M47" s="3" t="n">
        <v>2</v>
      </c>
      <c r="N47" s="3" t="s">
        <v>59</v>
      </c>
      <c r="O47" s="3" t="n">
        <v>5.5</v>
      </c>
      <c r="P47" s="3" t="n">
        <f aca="false">O47*1000/24</f>
        <v>229.166666666667</v>
      </c>
      <c r="Q47" s="3" t="n">
        <v>5</v>
      </c>
      <c r="R47" s="3" t="n">
        <v>0</v>
      </c>
      <c r="S47" s="3" t="n">
        <f aca="false">1013.25*(1-0.0000225577*D47)^5.25588+R47</f>
        <v>986.510739133655</v>
      </c>
      <c r="T47" s="3" t="s">
        <v>26</v>
      </c>
    </row>
    <row r="48" customFormat="false" ht="15" hidden="false" customHeight="true" outlineLevel="0" collapsed="false">
      <c r="A48" s="3" t="s">
        <v>60</v>
      </c>
      <c r="B48" s="3" t="n">
        <v>26.91</v>
      </c>
      <c r="C48" s="3" t="n">
        <v>70.9</v>
      </c>
      <c r="D48" s="3" t="n">
        <v>225</v>
      </c>
      <c r="E48" s="3" t="s">
        <v>61</v>
      </c>
      <c r="F48" s="3" t="s">
        <v>51</v>
      </c>
      <c r="G48" s="3" t="n">
        <v>11</v>
      </c>
      <c r="H48" s="3" t="s">
        <v>49</v>
      </c>
      <c r="I48" s="3" t="s">
        <v>52</v>
      </c>
      <c r="J48" s="3" t="str">
        <f aca="false">A48&amp;"-"&amp;F48</f>
        <v>Jaisalmer-November</v>
      </c>
      <c r="K48" s="3" t="n">
        <v>21</v>
      </c>
      <c r="L48" s="3" t="n">
        <v>30</v>
      </c>
      <c r="M48" s="3" t="n">
        <v>2</v>
      </c>
      <c r="N48" s="3" t="s">
        <v>59</v>
      </c>
      <c r="O48" s="3" t="n">
        <v>4.8</v>
      </c>
      <c r="P48" s="3" t="n">
        <f aca="false">O48*1000/24</f>
        <v>200</v>
      </c>
      <c r="Q48" s="3" t="n">
        <v>2</v>
      </c>
      <c r="R48" s="3" t="n">
        <v>1</v>
      </c>
      <c r="S48" s="3" t="n">
        <f aca="false">1013.25*(1-0.0000225577*D48)^5.25588+R48</f>
        <v>987.510739133655</v>
      </c>
      <c r="T48" s="3" t="s">
        <v>26</v>
      </c>
    </row>
    <row r="49" customFormat="false" ht="15" hidden="false" customHeight="true" outlineLevel="0" collapsed="false">
      <c r="A49" s="3" t="s">
        <v>60</v>
      </c>
      <c r="B49" s="3" t="n">
        <v>26.91</v>
      </c>
      <c r="C49" s="3" t="n">
        <v>70.9</v>
      </c>
      <c r="D49" s="3" t="n">
        <v>225</v>
      </c>
      <c r="E49" s="3" t="s">
        <v>61</v>
      </c>
      <c r="F49" s="3" t="s">
        <v>53</v>
      </c>
      <c r="G49" s="3" t="n">
        <v>12</v>
      </c>
      <c r="H49" s="3" t="s">
        <v>23</v>
      </c>
      <c r="I49" s="3" t="s">
        <v>54</v>
      </c>
      <c r="J49" s="3" t="str">
        <f aca="false">A49&amp;"-"&amp;F49</f>
        <v>Jaisalmer-December</v>
      </c>
      <c r="K49" s="3" t="n">
        <v>16</v>
      </c>
      <c r="L49" s="3" t="n">
        <v>35</v>
      </c>
      <c r="M49" s="3" t="n">
        <v>2</v>
      </c>
      <c r="N49" s="3" t="s">
        <v>59</v>
      </c>
      <c r="O49" s="3" t="n">
        <v>4.2</v>
      </c>
      <c r="P49" s="3" t="n">
        <f aca="false">O49*1000/24</f>
        <v>175</v>
      </c>
      <c r="Q49" s="3" t="n">
        <v>2</v>
      </c>
      <c r="R49" s="3" t="n">
        <v>2</v>
      </c>
      <c r="S49" s="3" t="n">
        <f aca="false">1013.25*(1-0.0000225577*D49)^5.25588+R49</f>
        <v>988.510739133655</v>
      </c>
      <c r="T49" s="3" t="s">
        <v>26</v>
      </c>
    </row>
    <row r="50" customFormat="false" ht="15" hidden="false" customHeight="true" outlineLevel="0" collapsed="false">
      <c r="A50" s="3" t="s">
        <v>62</v>
      </c>
      <c r="B50" s="3" t="n">
        <v>26.14</v>
      </c>
      <c r="C50" s="3" t="n">
        <v>91.73</v>
      </c>
      <c r="D50" s="3" t="n">
        <v>55</v>
      </c>
      <c r="E50" s="3" t="s">
        <v>63</v>
      </c>
      <c r="F50" s="3" t="s">
        <v>22</v>
      </c>
      <c r="G50" s="3" t="n">
        <v>1</v>
      </c>
      <c r="H50" s="3" t="s">
        <v>23</v>
      </c>
      <c r="I50" s="3" t="s">
        <v>24</v>
      </c>
      <c r="J50" s="3" t="str">
        <f aca="false">A50&amp;"-"&amp;F50</f>
        <v>Guwahati-January</v>
      </c>
      <c r="K50" s="3" t="n">
        <v>16</v>
      </c>
      <c r="L50" s="3" t="n">
        <v>75</v>
      </c>
      <c r="M50" s="3" t="n">
        <v>1</v>
      </c>
      <c r="N50" s="3" t="s">
        <v>64</v>
      </c>
      <c r="O50" s="3" t="n">
        <v>3.8</v>
      </c>
      <c r="P50" s="3" t="n">
        <f aca="false">O50*1000/24</f>
        <v>158.333333333333</v>
      </c>
      <c r="Q50" s="3" t="n">
        <v>15</v>
      </c>
      <c r="R50" s="3" t="n">
        <v>2</v>
      </c>
      <c r="S50" s="3" t="n">
        <f aca="false">1013.25*(1-0.0000225577*D50)^5.25588+R50</f>
        <v>1008.66018809534</v>
      </c>
      <c r="T50" s="3" t="s">
        <v>26</v>
      </c>
    </row>
    <row r="51" customFormat="false" ht="15" hidden="false" customHeight="true" outlineLevel="0" collapsed="false">
      <c r="A51" s="3" t="s">
        <v>62</v>
      </c>
      <c r="B51" s="3" t="n">
        <v>26.14</v>
      </c>
      <c r="C51" s="3" t="n">
        <v>91.73</v>
      </c>
      <c r="D51" s="3" t="n">
        <v>55</v>
      </c>
      <c r="E51" s="3" t="s">
        <v>63</v>
      </c>
      <c r="F51" s="3" t="s">
        <v>27</v>
      </c>
      <c r="G51" s="3" t="n">
        <v>2</v>
      </c>
      <c r="H51" s="3" t="s">
        <v>23</v>
      </c>
      <c r="I51" s="3" t="s">
        <v>28</v>
      </c>
      <c r="J51" s="3" t="str">
        <f aca="false">A51&amp;"-"&amp;F51</f>
        <v>Guwahati-February</v>
      </c>
      <c r="K51" s="3" t="n">
        <v>19</v>
      </c>
      <c r="L51" s="3" t="n">
        <v>72</v>
      </c>
      <c r="M51" s="3" t="n">
        <v>1.2</v>
      </c>
      <c r="N51" s="3" t="s">
        <v>64</v>
      </c>
      <c r="O51" s="3" t="n">
        <v>4.2</v>
      </c>
      <c r="P51" s="3" t="n">
        <f aca="false">O51*1000/24</f>
        <v>175</v>
      </c>
      <c r="Q51" s="3" t="n">
        <v>25</v>
      </c>
      <c r="R51" s="3" t="n">
        <v>1.5</v>
      </c>
      <c r="S51" s="3" t="n">
        <f aca="false">1013.25*(1-0.0000225577*D51)^5.25588+R51</f>
        <v>1008.16018809534</v>
      </c>
      <c r="T51" s="3" t="s">
        <v>26</v>
      </c>
    </row>
    <row r="52" customFormat="false" ht="15" hidden="false" customHeight="true" outlineLevel="0" collapsed="false">
      <c r="A52" s="3" t="s">
        <v>62</v>
      </c>
      <c r="B52" s="3" t="n">
        <v>26.14</v>
      </c>
      <c r="C52" s="3" t="n">
        <v>91.73</v>
      </c>
      <c r="D52" s="3" t="n">
        <v>55</v>
      </c>
      <c r="E52" s="3" t="s">
        <v>63</v>
      </c>
      <c r="F52" s="3" t="s">
        <v>29</v>
      </c>
      <c r="G52" s="3" t="n">
        <v>3</v>
      </c>
      <c r="H52" s="3" t="s">
        <v>30</v>
      </c>
      <c r="I52" s="3" t="s">
        <v>31</v>
      </c>
      <c r="J52" s="3" t="str">
        <f aca="false">A52&amp;"-"&amp;F52</f>
        <v>Guwahati-March</v>
      </c>
      <c r="K52" s="3" t="n">
        <v>23</v>
      </c>
      <c r="L52" s="3" t="n">
        <v>70</v>
      </c>
      <c r="M52" s="3" t="n">
        <v>1.5</v>
      </c>
      <c r="N52" s="3" t="s">
        <v>59</v>
      </c>
      <c r="O52" s="3" t="n">
        <v>4.8</v>
      </c>
      <c r="P52" s="3" t="n">
        <f aca="false">O52*1000/24</f>
        <v>200</v>
      </c>
      <c r="Q52" s="3" t="n">
        <v>60</v>
      </c>
      <c r="R52" s="3" t="n">
        <v>1</v>
      </c>
      <c r="S52" s="3" t="n">
        <f aca="false">1013.25*(1-0.0000225577*D52)^5.25588+R52</f>
        <v>1007.66018809534</v>
      </c>
      <c r="T52" s="3" t="s">
        <v>26</v>
      </c>
    </row>
    <row r="53" customFormat="false" ht="15" hidden="false" customHeight="true" outlineLevel="0" collapsed="false">
      <c r="A53" s="3" t="s">
        <v>62</v>
      </c>
      <c r="B53" s="3" t="n">
        <v>26.14</v>
      </c>
      <c r="C53" s="3" t="n">
        <v>91.73</v>
      </c>
      <c r="D53" s="3" t="n">
        <v>55</v>
      </c>
      <c r="E53" s="3" t="s">
        <v>63</v>
      </c>
      <c r="F53" s="3" t="s">
        <v>33</v>
      </c>
      <c r="G53" s="3" t="n">
        <v>4</v>
      </c>
      <c r="H53" s="3" t="s">
        <v>30</v>
      </c>
      <c r="I53" s="3" t="s">
        <v>34</v>
      </c>
      <c r="J53" s="3" t="str">
        <f aca="false">A53&amp;"-"&amp;F53</f>
        <v>Guwahati-April</v>
      </c>
      <c r="K53" s="3" t="n">
        <v>25</v>
      </c>
      <c r="L53" s="3" t="n">
        <v>70</v>
      </c>
      <c r="M53" s="3" t="n">
        <v>2</v>
      </c>
      <c r="N53" s="3" t="s">
        <v>65</v>
      </c>
      <c r="O53" s="3" t="n">
        <v>4.8</v>
      </c>
      <c r="P53" s="3" t="n">
        <f aca="false">O53*1000/24</f>
        <v>200</v>
      </c>
      <c r="Q53" s="3" t="n">
        <v>150</v>
      </c>
      <c r="R53" s="3" t="n">
        <v>0</v>
      </c>
      <c r="S53" s="3" t="n">
        <f aca="false">1013.25*(1-0.0000225577*D53)^5.25588+R53</f>
        <v>1006.66018809534</v>
      </c>
      <c r="T53" s="3" t="s">
        <v>26</v>
      </c>
    </row>
    <row r="54" customFormat="false" ht="15" hidden="false" customHeight="true" outlineLevel="0" collapsed="false">
      <c r="A54" s="3" t="s">
        <v>62</v>
      </c>
      <c r="B54" s="3" t="n">
        <v>26.14</v>
      </c>
      <c r="C54" s="3" t="n">
        <v>91.73</v>
      </c>
      <c r="D54" s="3" t="n">
        <v>55</v>
      </c>
      <c r="E54" s="3" t="s">
        <v>63</v>
      </c>
      <c r="F54" s="3" t="s">
        <v>35</v>
      </c>
      <c r="G54" s="3" t="n">
        <v>5</v>
      </c>
      <c r="H54" s="3" t="s">
        <v>36</v>
      </c>
      <c r="I54" s="3" t="s">
        <v>37</v>
      </c>
      <c r="J54" s="3" t="str">
        <f aca="false">A54&amp;"-"&amp;F54</f>
        <v>Guwahati-May</v>
      </c>
      <c r="K54" s="3" t="n">
        <v>27</v>
      </c>
      <c r="L54" s="3" t="n">
        <v>75</v>
      </c>
      <c r="M54" s="3" t="n">
        <v>2.2</v>
      </c>
      <c r="N54" s="3" t="s">
        <v>65</v>
      </c>
      <c r="O54" s="3" t="n">
        <v>4.5</v>
      </c>
      <c r="P54" s="3" t="n">
        <f aca="false">O54*1000/24</f>
        <v>187.5</v>
      </c>
      <c r="Q54" s="3" t="n">
        <v>280</v>
      </c>
      <c r="R54" s="3" t="n">
        <v>-1</v>
      </c>
      <c r="S54" s="3" t="n">
        <f aca="false">1013.25*(1-0.0000225577*D54)^5.25588+R54</f>
        <v>1005.66018809534</v>
      </c>
      <c r="T54" s="3" t="s">
        <v>26</v>
      </c>
    </row>
    <row r="55" customFormat="false" ht="15" hidden="false" customHeight="true" outlineLevel="0" collapsed="false">
      <c r="A55" s="3" t="s">
        <v>62</v>
      </c>
      <c r="B55" s="3" t="n">
        <v>26.14</v>
      </c>
      <c r="C55" s="3" t="n">
        <v>91.73</v>
      </c>
      <c r="D55" s="3" t="n">
        <v>55</v>
      </c>
      <c r="E55" s="3" t="s">
        <v>63</v>
      </c>
      <c r="F55" s="3" t="s">
        <v>39</v>
      </c>
      <c r="G55" s="3" t="n">
        <v>6</v>
      </c>
      <c r="H55" s="3" t="s">
        <v>40</v>
      </c>
      <c r="I55" s="3" t="s">
        <v>41</v>
      </c>
      <c r="J55" s="3" t="str">
        <f aca="false">A55&amp;"-"&amp;F55</f>
        <v>Guwahati-June</v>
      </c>
      <c r="K55" s="3" t="n">
        <v>28</v>
      </c>
      <c r="L55" s="3" t="n">
        <v>85</v>
      </c>
      <c r="M55" s="3" t="n">
        <v>2.5</v>
      </c>
      <c r="N55" s="3" t="s">
        <v>66</v>
      </c>
      <c r="O55" s="3" t="n">
        <v>3.8</v>
      </c>
      <c r="P55" s="3" t="n">
        <f aca="false">O55*1000/24</f>
        <v>158.333333333333</v>
      </c>
      <c r="Q55" s="3" t="n">
        <v>350</v>
      </c>
      <c r="R55" s="3" t="n">
        <v>-2</v>
      </c>
      <c r="S55" s="3" t="n">
        <f aca="false">1013.25*(1-0.0000225577*D55)^5.25588+R55</f>
        <v>1004.66018809534</v>
      </c>
      <c r="T55" s="3" t="s">
        <v>26</v>
      </c>
    </row>
    <row r="56" customFormat="false" ht="15" hidden="false" customHeight="true" outlineLevel="0" collapsed="false">
      <c r="A56" s="3" t="s">
        <v>62</v>
      </c>
      <c r="B56" s="3" t="n">
        <v>26.14</v>
      </c>
      <c r="C56" s="3" t="n">
        <v>91.73</v>
      </c>
      <c r="D56" s="3" t="n">
        <v>55</v>
      </c>
      <c r="E56" s="3" t="s">
        <v>63</v>
      </c>
      <c r="F56" s="3" t="s">
        <v>42</v>
      </c>
      <c r="G56" s="3" t="n">
        <v>7</v>
      </c>
      <c r="H56" s="3" t="s">
        <v>40</v>
      </c>
      <c r="I56" s="3" t="s">
        <v>43</v>
      </c>
      <c r="J56" s="3" t="str">
        <f aca="false">A56&amp;"-"&amp;F56</f>
        <v>Guwahati-July</v>
      </c>
      <c r="K56" s="3" t="n">
        <v>28</v>
      </c>
      <c r="L56" s="3" t="n">
        <v>88</v>
      </c>
      <c r="M56" s="3" t="n">
        <v>2.3</v>
      </c>
      <c r="N56" s="3" t="s">
        <v>66</v>
      </c>
      <c r="O56" s="3" t="n">
        <v>3.8</v>
      </c>
      <c r="P56" s="3" t="n">
        <f aca="false">O56*1000/24</f>
        <v>158.333333333333</v>
      </c>
      <c r="Q56" s="3" t="n">
        <v>320</v>
      </c>
      <c r="R56" s="3" t="n">
        <v>-2</v>
      </c>
      <c r="S56" s="3" t="n">
        <f aca="false">1013.25*(1-0.0000225577*D56)^5.25588+R56</f>
        <v>1004.66018809534</v>
      </c>
      <c r="T56" s="3" t="s">
        <v>26</v>
      </c>
    </row>
    <row r="57" customFormat="false" ht="15" hidden="false" customHeight="true" outlineLevel="0" collapsed="false">
      <c r="A57" s="3" t="s">
        <v>62</v>
      </c>
      <c r="B57" s="3" t="n">
        <v>26.14</v>
      </c>
      <c r="C57" s="3" t="n">
        <v>91.73</v>
      </c>
      <c r="D57" s="3" t="n">
        <v>55</v>
      </c>
      <c r="E57" s="3" t="s">
        <v>63</v>
      </c>
      <c r="F57" s="3" t="s">
        <v>44</v>
      </c>
      <c r="G57" s="3" t="n">
        <v>8</v>
      </c>
      <c r="H57" s="3" t="s">
        <v>40</v>
      </c>
      <c r="I57" s="3" t="s">
        <v>45</v>
      </c>
      <c r="J57" s="3" t="str">
        <f aca="false">A57&amp;"-"&amp;F57</f>
        <v>Guwahati-August</v>
      </c>
      <c r="K57" s="3" t="n">
        <v>28</v>
      </c>
      <c r="L57" s="3" t="n">
        <v>87</v>
      </c>
      <c r="M57" s="3" t="n">
        <v>2</v>
      </c>
      <c r="N57" s="3" t="s">
        <v>66</v>
      </c>
      <c r="O57" s="3" t="n">
        <v>4</v>
      </c>
      <c r="P57" s="3" t="n">
        <f aca="false">O57*1000/24</f>
        <v>166.666666666667</v>
      </c>
      <c r="Q57" s="3" t="n">
        <v>280</v>
      </c>
      <c r="R57" s="3" t="n">
        <v>-2</v>
      </c>
      <c r="S57" s="3" t="n">
        <f aca="false">1013.25*(1-0.0000225577*D57)^5.25588+R57</f>
        <v>1004.66018809534</v>
      </c>
      <c r="T57" s="3" t="s">
        <v>26</v>
      </c>
    </row>
    <row r="58" customFormat="false" ht="15" hidden="false" customHeight="true" outlineLevel="0" collapsed="false">
      <c r="A58" s="3" t="s">
        <v>62</v>
      </c>
      <c r="B58" s="3" t="n">
        <v>26.14</v>
      </c>
      <c r="C58" s="3" t="n">
        <v>91.73</v>
      </c>
      <c r="D58" s="3" t="n">
        <v>55</v>
      </c>
      <c r="E58" s="3" t="s">
        <v>63</v>
      </c>
      <c r="F58" s="3" t="s">
        <v>46</v>
      </c>
      <c r="G58" s="3" t="n">
        <v>9</v>
      </c>
      <c r="H58" s="3" t="s">
        <v>40</v>
      </c>
      <c r="I58" s="3" t="s">
        <v>47</v>
      </c>
      <c r="J58" s="3" t="str">
        <f aca="false">A58&amp;"-"&amp;F58</f>
        <v>Guwahati-September</v>
      </c>
      <c r="K58" s="3" t="n">
        <v>28</v>
      </c>
      <c r="L58" s="3" t="n">
        <v>85</v>
      </c>
      <c r="M58" s="3" t="n">
        <v>1.8</v>
      </c>
      <c r="N58" s="3" t="s">
        <v>65</v>
      </c>
      <c r="O58" s="3" t="n">
        <v>4</v>
      </c>
      <c r="P58" s="3" t="n">
        <f aca="false">O58*1000/24</f>
        <v>166.666666666667</v>
      </c>
      <c r="Q58" s="3" t="n">
        <v>220</v>
      </c>
      <c r="R58" s="3" t="n">
        <v>-1</v>
      </c>
      <c r="S58" s="3" t="n">
        <f aca="false">1013.25*(1-0.0000225577*D58)^5.25588+R58</f>
        <v>1005.66018809534</v>
      </c>
      <c r="T58" s="3" t="s">
        <v>26</v>
      </c>
    </row>
    <row r="59" customFormat="false" ht="15" hidden="false" customHeight="true" outlineLevel="0" collapsed="false">
      <c r="A59" s="3" t="s">
        <v>62</v>
      </c>
      <c r="B59" s="3" t="n">
        <v>26.14</v>
      </c>
      <c r="C59" s="3" t="n">
        <v>91.73</v>
      </c>
      <c r="D59" s="3" t="n">
        <v>55</v>
      </c>
      <c r="E59" s="3" t="s">
        <v>63</v>
      </c>
      <c r="F59" s="3" t="s">
        <v>48</v>
      </c>
      <c r="G59" s="3" t="n">
        <v>10</v>
      </c>
      <c r="H59" s="3" t="s">
        <v>49</v>
      </c>
      <c r="I59" s="3" t="s">
        <v>50</v>
      </c>
      <c r="J59" s="3" t="str">
        <f aca="false">A59&amp;"-"&amp;F59</f>
        <v>Guwahati-October</v>
      </c>
      <c r="K59" s="3" t="n">
        <v>25</v>
      </c>
      <c r="L59" s="3" t="n">
        <v>80</v>
      </c>
      <c r="M59" s="3" t="n">
        <v>1.5</v>
      </c>
      <c r="N59" s="3" t="s">
        <v>59</v>
      </c>
      <c r="O59" s="3" t="n">
        <v>4</v>
      </c>
      <c r="P59" s="3" t="n">
        <f aca="false">O59*1000/24</f>
        <v>166.666666666667</v>
      </c>
      <c r="Q59" s="3" t="n">
        <v>120</v>
      </c>
      <c r="R59" s="3" t="n">
        <v>0</v>
      </c>
      <c r="S59" s="3" t="n">
        <f aca="false">1013.25*(1-0.0000225577*D59)^5.25588+R59</f>
        <v>1006.66018809534</v>
      </c>
      <c r="T59" s="3" t="s">
        <v>26</v>
      </c>
    </row>
    <row r="60" customFormat="false" ht="15" hidden="false" customHeight="true" outlineLevel="0" collapsed="false">
      <c r="A60" s="3" t="s">
        <v>62</v>
      </c>
      <c r="B60" s="3" t="n">
        <v>26.14</v>
      </c>
      <c r="C60" s="3" t="n">
        <v>91.73</v>
      </c>
      <c r="D60" s="3" t="n">
        <v>55</v>
      </c>
      <c r="E60" s="3" t="s">
        <v>63</v>
      </c>
      <c r="F60" s="3" t="s">
        <v>51</v>
      </c>
      <c r="G60" s="3" t="n">
        <v>11</v>
      </c>
      <c r="H60" s="3" t="s">
        <v>49</v>
      </c>
      <c r="I60" s="3" t="s">
        <v>52</v>
      </c>
      <c r="J60" s="3" t="str">
        <f aca="false">A60&amp;"-"&amp;F60</f>
        <v>Guwahati-November</v>
      </c>
      <c r="K60" s="3" t="n">
        <v>20</v>
      </c>
      <c r="L60" s="3" t="n">
        <v>78</v>
      </c>
      <c r="M60" s="3" t="n">
        <v>1.2</v>
      </c>
      <c r="N60" s="3" t="s">
        <v>64</v>
      </c>
      <c r="O60" s="3" t="n">
        <v>3.8</v>
      </c>
      <c r="P60" s="3" t="n">
        <f aca="false">O60*1000/24</f>
        <v>158.333333333333</v>
      </c>
      <c r="Q60" s="3" t="n">
        <v>25</v>
      </c>
      <c r="R60" s="3" t="n">
        <v>1</v>
      </c>
      <c r="S60" s="3" t="n">
        <f aca="false">1013.25*(1-0.0000225577*D60)^5.25588+R60</f>
        <v>1007.66018809534</v>
      </c>
      <c r="T60" s="3" t="s">
        <v>26</v>
      </c>
    </row>
    <row r="61" customFormat="false" ht="15" hidden="false" customHeight="true" outlineLevel="0" collapsed="false">
      <c r="A61" s="3" t="s">
        <v>62</v>
      </c>
      <c r="B61" s="3" t="n">
        <v>26.14</v>
      </c>
      <c r="C61" s="3" t="n">
        <v>91.73</v>
      </c>
      <c r="D61" s="3" t="n">
        <v>55</v>
      </c>
      <c r="E61" s="3" t="s">
        <v>63</v>
      </c>
      <c r="F61" s="3" t="s">
        <v>53</v>
      </c>
      <c r="G61" s="3" t="n">
        <v>12</v>
      </c>
      <c r="H61" s="3" t="s">
        <v>23</v>
      </c>
      <c r="I61" s="3" t="s">
        <v>54</v>
      </c>
      <c r="J61" s="3" t="str">
        <f aca="false">A61&amp;"-"&amp;F61</f>
        <v>Guwahati-December</v>
      </c>
      <c r="K61" s="3" t="n">
        <v>16</v>
      </c>
      <c r="L61" s="3" t="n">
        <v>75</v>
      </c>
      <c r="M61" s="3" t="n">
        <v>1</v>
      </c>
      <c r="N61" s="3" t="s">
        <v>64</v>
      </c>
      <c r="O61" s="3" t="n">
        <v>3.5</v>
      </c>
      <c r="P61" s="3" t="n">
        <f aca="false">O61*1000/24</f>
        <v>145.833333333333</v>
      </c>
      <c r="Q61" s="3" t="n">
        <v>8</v>
      </c>
      <c r="R61" s="3" t="n">
        <v>2</v>
      </c>
      <c r="S61" s="3" t="n">
        <f aca="false">1013.25*(1-0.0000225577*D61)^5.25588+R61</f>
        <v>1008.66018809534</v>
      </c>
      <c r="T61" s="3" t="s">
        <v>26</v>
      </c>
    </row>
    <row r="62" customFormat="false" ht="15" hidden="false" customHeight="true" outlineLevel="0" collapsed="false">
      <c r="A62" s="3" t="s">
        <v>67</v>
      </c>
      <c r="B62" s="3" t="n">
        <v>13.08</v>
      </c>
      <c r="C62" s="3" t="n">
        <v>80.27</v>
      </c>
      <c r="D62" s="3" t="n">
        <v>6</v>
      </c>
      <c r="E62" s="3" t="s">
        <v>68</v>
      </c>
      <c r="F62" s="3" t="s">
        <v>22</v>
      </c>
      <c r="G62" s="3" t="n">
        <v>1</v>
      </c>
      <c r="H62" s="3" t="s">
        <v>23</v>
      </c>
      <c r="I62" s="3" t="s">
        <v>24</v>
      </c>
      <c r="J62" s="3" t="str">
        <f aca="false">A62&amp;"-"&amp;F62</f>
        <v>Chennai-January</v>
      </c>
      <c r="K62" s="3" t="n">
        <v>25</v>
      </c>
      <c r="L62" s="3" t="n">
        <v>72</v>
      </c>
      <c r="M62" s="3" t="n">
        <v>3</v>
      </c>
      <c r="N62" s="3" t="s">
        <v>59</v>
      </c>
      <c r="O62" s="3" t="n">
        <v>4.5</v>
      </c>
      <c r="P62" s="3" t="n">
        <f aca="false">O62*1000/24</f>
        <v>187.5</v>
      </c>
      <c r="Q62" s="3" t="n">
        <v>25</v>
      </c>
      <c r="R62" s="3" t="n">
        <v>2</v>
      </c>
      <c r="S62" s="3" t="n">
        <f aca="false">1013.25*(1-0.0000225577*D62)^5.25588+R62</f>
        <v>1014.5294186124</v>
      </c>
      <c r="T62" s="3" t="s">
        <v>26</v>
      </c>
    </row>
    <row r="63" customFormat="false" ht="15" hidden="false" customHeight="true" outlineLevel="0" collapsed="false">
      <c r="A63" s="3" t="s">
        <v>67</v>
      </c>
      <c r="B63" s="3" t="n">
        <v>13.08</v>
      </c>
      <c r="C63" s="3" t="n">
        <v>80.27</v>
      </c>
      <c r="D63" s="3" t="n">
        <v>6</v>
      </c>
      <c r="E63" s="3" t="s">
        <v>68</v>
      </c>
      <c r="F63" s="3" t="s">
        <v>27</v>
      </c>
      <c r="G63" s="3" t="n">
        <v>2</v>
      </c>
      <c r="H63" s="3" t="s">
        <v>23</v>
      </c>
      <c r="I63" s="3" t="s">
        <v>28</v>
      </c>
      <c r="J63" s="3" t="str">
        <f aca="false">A63&amp;"-"&amp;F63</f>
        <v>Chennai-February</v>
      </c>
      <c r="K63" s="3" t="n">
        <v>27</v>
      </c>
      <c r="L63" s="3" t="n">
        <v>70</v>
      </c>
      <c r="M63" s="3" t="n">
        <v>3</v>
      </c>
      <c r="N63" s="3" t="s">
        <v>59</v>
      </c>
      <c r="O63" s="3" t="n">
        <v>5.2</v>
      </c>
      <c r="P63" s="3" t="n">
        <f aca="false">O63*1000/24</f>
        <v>216.666666666667</v>
      </c>
      <c r="Q63" s="3" t="n">
        <v>10</v>
      </c>
      <c r="R63" s="3" t="n">
        <v>1.5</v>
      </c>
      <c r="S63" s="3" t="n">
        <f aca="false">1013.25*(1-0.0000225577*D63)^5.25588+R63</f>
        <v>1014.0294186124</v>
      </c>
      <c r="T63" s="3" t="s">
        <v>26</v>
      </c>
    </row>
    <row r="64" customFormat="false" ht="15" hidden="false" customHeight="true" outlineLevel="0" collapsed="false">
      <c r="A64" s="3" t="s">
        <v>67</v>
      </c>
      <c r="B64" s="3" t="n">
        <v>13.08</v>
      </c>
      <c r="C64" s="3" t="n">
        <v>80.27</v>
      </c>
      <c r="D64" s="3" t="n">
        <v>6</v>
      </c>
      <c r="E64" s="3" t="s">
        <v>68</v>
      </c>
      <c r="F64" s="3" t="s">
        <v>29</v>
      </c>
      <c r="G64" s="3" t="n">
        <v>3</v>
      </c>
      <c r="H64" s="3" t="s">
        <v>30</v>
      </c>
      <c r="I64" s="3" t="s">
        <v>31</v>
      </c>
      <c r="J64" s="3" t="str">
        <f aca="false">A64&amp;"-"&amp;F64</f>
        <v>Chennai-March</v>
      </c>
      <c r="K64" s="3" t="n">
        <v>29</v>
      </c>
      <c r="L64" s="3" t="n">
        <v>68</v>
      </c>
      <c r="M64" s="3" t="n">
        <v>3.5</v>
      </c>
      <c r="N64" s="3" t="s">
        <v>65</v>
      </c>
      <c r="O64" s="3" t="n">
        <v>6</v>
      </c>
      <c r="P64" s="3" t="n">
        <f aca="false">O64*1000/24</f>
        <v>250</v>
      </c>
      <c r="Q64" s="3" t="n">
        <v>8</v>
      </c>
      <c r="R64" s="3" t="n">
        <v>1</v>
      </c>
      <c r="S64" s="3" t="n">
        <f aca="false">1013.25*(1-0.0000225577*D64)^5.25588+R64</f>
        <v>1013.5294186124</v>
      </c>
      <c r="T64" s="3" t="s">
        <v>26</v>
      </c>
    </row>
    <row r="65" customFormat="false" ht="15" hidden="false" customHeight="true" outlineLevel="0" collapsed="false">
      <c r="A65" s="3" t="s">
        <v>67</v>
      </c>
      <c r="B65" s="3" t="n">
        <v>13.08</v>
      </c>
      <c r="C65" s="3" t="n">
        <v>80.27</v>
      </c>
      <c r="D65" s="3" t="n">
        <v>6</v>
      </c>
      <c r="E65" s="3" t="s">
        <v>68</v>
      </c>
      <c r="F65" s="3" t="s">
        <v>33</v>
      </c>
      <c r="G65" s="3" t="n">
        <v>4</v>
      </c>
      <c r="H65" s="3" t="s">
        <v>30</v>
      </c>
      <c r="I65" s="3" t="s">
        <v>34</v>
      </c>
      <c r="J65" s="3" t="str">
        <f aca="false">A65&amp;"-"&amp;F65</f>
        <v>Chennai-April</v>
      </c>
      <c r="K65" s="3" t="n">
        <v>32</v>
      </c>
      <c r="L65" s="3" t="n">
        <v>65</v>
      </c>
      <c r="M65" s="3" t="n">
        <v>4</v>
      </c>
      <c r="N65" s="3" t="s">
        <v>65</v>
      </c>
      <c r="O65" s="3" t="n">
        <v>6.3</v>
      </c>
      <c r="P65" s="3" t="n">
        <f aca="false">O65*1000/24</f>
        <v>262.5</v>
      </c>
      <c r="Q65" s="3" t="n">
        <v>15</v>
      </c>
      <c r="R65" s="3" t="n">
        <v>0</v>
      </c>
      <c r="S65" s="3" t="n">
        <f aca="false">1013.25*(1-0.0000225577*D65)^5.25588+R65</f>
        <v>1012.5294186124</v>
      </c>
      <c r="T65" s="3" t="s">
        <v>26</v>
      </c>
    </row>
    <row r="66" customFormat="false" ht="15" hidden="false" customHeight="true" outlineLevel="0" collapsed="false">
      <c r="A66" s="3" t="s">
        <v>67</v>
      </c>
      <c r="B66" s="3" t="n">
        <v>13.08</v>
      </c>
      <c r="C66" s="3" t="n">
        <v>80.27</v>
      </c>
      <c r="D66" s="3" t="n">
        <v>6</v>
      </c>
      <c r="E66" s="3" t="s">
        <v>68</v>
      </c>
      <c r="F66" s="3" t="s">
        <v>35</v>
      </c>
      <c r="G66" s="3" t="n">
        <v>5</v>
      </c>
      <c r="H66" s="3" t="s">
        <v>36</v>
      </c>
      <c r="I66" s="3" t="s">
        <v>37</v>
      </c>
      <c r="J66" s="3" t="str">
        <f aca="false">A66&amp;"-"&amp;F66</f>
        <v>Chennai-May</v>
      </c>
      <c r="K66" s="3" t="n">
        <v>34</v>
      </c>
      <c r="L66" s="3" t="n">
        <v>62</v>
      </c>
      <c r="M66" s="3" t="n">
        <v>4.5</v>
      </c>
      <c r="N66" s="3" t="s">
        <v>38</v>
      </c>
      <c r="O66" s="3" t="n">
        <v>6.2</v>
      </c>
      <c r="P66" s="3" t="n">
        <f aca="false">O66*1000/24</f>
        <v>258.333333333333</v>
      </c>
      <c r="Q66" s="3" t="n">
        <v>25</v>
      </c>
      <c r="R66" s="3" t="n">
        <v>-1</v>
      </c>
      <c r="S66" s="3" t="n">
        <f aca="false">1013.25*(1-0.0000225577*D66)^5.25588+R66</f>
        <v>1011.5294186124</v>
      </c>
      <c r="T66" s="3" t="s">
        <v>26</v>
      </c>
    </row>
    <row r="67" customFormat="false" ht="15" hidden="false" customHeight="true" outlineLevel="0" collapsed="false">
      <c r="A67" s="3" t="s">
        <v>67</v>
      </c>
      <c r="B67" s="3" t="n">
        <v>13.08</v>
      </c>
      <c r="C67" s="3" t="n">
        <v>80.27</v>
      </c>
      <c r="D67" s="3" t="n">
        <v>6</v>
      </c>
      <c r="E67" s="3" t="s">
        <v>68</v>
      </c>
      <c r="F67" s="3" t="s">
        <v>39</v>
      </c>
      <c r="G67" s="3" t="n">
        <v>6</v>
      </c>
      <c r="H67" s="3" t="s">
        <v>40</v>
      </c>
      <c r="I67" s="3" t="s">
        <v>41</v>
      </c>
      <c r="J67" s="3" t="str">
        <f aca="false">A67&amp;"-"&amp;F67</f>
        <v>Chennai-June</v>
      </c>
      <c r="K67" s="3" t="n">
        <v>33</v>
      </c>
      <c r="L67" s="3" t="n">
        <v>60</v>
      </c>
      <c r="M67" s="3" t="n">
        <v>4</v>
      </c>
      <c r="N67" s="3" t="s">
        <v>38</v>
      </c>
      <c r="O67" s="3" t="n">
        <v>5.5</v>
      </c>
      <c r="P67" s="3" t="n">
        <f aca="false">O67*1000/24</f>
        <v>229.166666666667</v>
      </c>
      <c r="Q67" s="3" t="n">
        <v>50</v>
      </c>
      <c r="R67" s="3" t="n">
        <v>-2</v>
      </c>
      <c r="S67" s="3" t="n">
        <f aca="false">1013.25*(1-0.0000225577*D67)^5.25588+R67</f>
        <v>1010.5294186124</v>
      </c>
      <c r="T67" s="3" t="s">
        <v>26</v>
      </c>
    </row>
    <row r="68" customFormat="false" ht="15" hidden="false" customHeight="true" outlineLevel="0" collapsed="false">
      <c r="A68" s="3" t="s">
        <v>67</v>
      </c>
      <c r="B68" s="3" t="n">
        <v>13.08</v>
      </c>
      <c r="C68" s="3" t="n">
        <v>80.27</v>
      </c>
      <c r="D68" s="3" t="n">
        <v>6</v>
      </c>
      <c r="E68" s="3" t="s">
        <v>68</v>
      </c>
      <c r="F68" s="3" t="s">
        <v>42</v>
      </c>
      <c r="G68" s="3" t="n">
        <v>7</v>
      </c>
      <c r="H68" s="3" t="s">
        <v>40</v>
      </c>
      <c r="I68" s="3" t="s">
        <v>43</v>
      </c>
      <c r="J68" s="3" t="str">
        <f aca="false">A68&amp;"-"&amp;F68</f>
        <v>Chennai-July</v>
      </c>
      <c r="K68" s="3" t="n">
        <v>31</v>
      </c>
      <c r="L68" s="3" t="n">
        <v>65</v>
      </c>
      <c r="M68" s="3" t="n">
        <v>3.5</v>
      </c>
      <c r="N68" s="3" t="s">
        <v>38</v>
      </c>
      <c r="O68" s="3" t="n">
        <v>5.2</v>
      </c>
      <c r="P68" s="3" t="n">
        <f aca="false">O68*1000/24</f>
        <v>216.666666666667</v>
      </c>
      <c r="Q68" s="3" t="n">
        <v>90</v>
      </c>
      <c r="R68" s="3" t="n">
        <v>-2</v>
      </c>
      <c r="S68" s="3" t="n">
        <f aca="false">1013.25*(1-0.0000225577*D68)^5.25588+R68</f>
        <v>1010.5294186124</v>
      </c>
      <c r="T68" s="3" t="s">
        <v>26</v>
      </c>
    </row>
    <row r="69" customFormat="false" ht="15" hidden="false" customHeight="true" outlineLevel="0" collapsed="false">
      <c r="A69" s="3" t="s">
        <v>67</v>
      </c>
      <c r="B69" s="3" t="n">
        <v>13.08</v>
      </c>
      <c r="C69" s="3" t="n">
        <v>80.27</v>
      </c>
      <c r="D69" s="3" t="n">
        <v>6</v>
      </c>
      <c r="E69" s="3" t="s">
        <v>68</v>
      </c>
      <c r="F69" s="3" t="s">
        <v>44</v>
      </c>
      <c r="G69" s="3" t="n">
        <v>8</v>
      </c>
      <c r="H69" s="3" t="s">
        <v>40</v>
      </c>
      <c r="I69" s="3" t="s">
        <v>45</v>
      </c>
      <c r="J69" s="3" t="str">
        <f aca="false">A69&amp;"-"&amp;F69</f>
        <v>Chennai-August</v>
      </c>
      <c r="K69" s="3" t="n">
        <v>30</v>
      </c>
      <c r="L69" s="3" t="n">
        <v>68</v>
      </c>
      <c r="M69" s="3" t="n">
        <v>3.5</v>
      </c>
      <c r="N69" s="3" t="s">
        <v>38</v>
      </c>
      <c r="O69" s="3" t="n">
        <v>5.3</v>
      </c>
      <c r="P69" s="3" t="n">
        <f aca="false">O69*1000/24</f>
        <v>220.833333333333</v>
      </c>
      <c r="Q69" s="3" t="n">
        <v>110</v>
      </c>
      <c r="R69" s="3" t="n">
        <v>-2</v>
      </c>
      <c r="S69" s="3" t="n">
        <f aca="false">1013.25*(1-0.0000225577*D69)^5.25588+R69</f>
        <v>1010.5294186124</v>
      </c>
      <c r="T69" s="3" t="s">
        <v>26</v>
      </c>
    </row>
    <row r="70" customFormat="false" ht="15" hidden="false" customHeight="true" outlineLevel="0" collapsed="false">
      <c r="A70" s="3" t="s">
        <v>67</v>
      </c>
      <c r="B70" s="3" t="n">
        <v>13.08</v>
      </c>
      <c r="C70" s="3" t="n">
        <v>80.27</v>
      </c>
      <c r="D70" s="3" t="n">
        <v>6</v>
      </c>
      <c r="E70" s="3" t="s">
        <v>68</v>
      </c>
      <c r="F70" s="3" t="s">
        <v>46</v>
      </c>
      <c r="G70" s="3" t="n">
        <v>9</v>
      </c>
      <c r="H70" s="3" t="s">
        <v>40</v>
      </c>
      <c r="I70" s="3" t="s">
        <v>47</v>
      </c>
      <c r="J70" s="3" t="str">
        <f aca="false">A70&amp;"-"&amp;F70</f>
        <v>Chennai-September</v>
      </c>
      <c r="K70" s="3" t="n">
        <v>30</v>
      </c>
      <c r="L70" s="3" t="n">
        <v>72</v>
      </c>
      <c r="M70" s="3" t="n">
        <v>3.5</v>
      </c>
      <c r="N70" s="3" t="s">
        <v>65</v>
      </c>
      <c r="O70" s="3" t="n">
        <v>5.2</v>
      </c>
      <c r="P70" s="3" t="n">
        <f aca="false">O70*1000/24</f>
        <v>216.666666666667</v>
      </c>
      <c r="Q70" s="3" t="n">
        <v>120</v>
      </c>
      <c r="R70" s="3" t="n">
        <v>-1</v>
      </c>
      <c r="S70" s="3" t="n">
        <f aca="false">1013.25*(1-0.0000225577*D70)^5.25588+R70</f>
        <v>1011.5294186124</v>
      </c>
      <c r="T70" s="3" t="s">
        <v>26</v>
      </c>
    </row>
    <row r="71" customFormat="false" ht="15" hidden="false" customHeight="true" outlineLevel="0" collapsed="false">
      <c r="A71" s="3" t="s">
        <v>67</v>
      </c>
      <c r="B71" s="3" t="n">
        <v>13.08</v>
      </c>
      <c r="C71" s="3" t="n">
        <v>80.27</v>
      </c>
      <c r="D71" s="3" t="n">
        <v>6</v>
      </c>
      <c r="E71" s="3" t="s">
        <v>68</v>
      </c>
      <c r="F71" s="3" t="s">
        <v>48</v>
      </c>
      <c r="G71" s="3" t="n">
        <v>10</v>
      </c>
      <c r="H71" s="3" t="s">
        <v>49</v>
      </c>
      <c r="I71" s="3" t="s">
        <v>50</v>
      </c>
      <c r="J71" s="3" t="str">
        <f aca="false">A71&amp;"-"&amp;F71</f>
        <v>Chennai-October</v>
      </c>
      <c r="K71" s="3" t="n">
        <v>28</v>
      </c>
      <c r="L71" s="3" t="n">
        <v>78</v>
      </c>
      <c r="M71" s="3" t="n">
        <v>4.5</v>
      </c>
      <c r="N71" s="3" t="s">
        <v>59</v>
      </c>
      <c r="O71" s="3" t="n">
        <v>4.5</v>
      </c>
      <c r="P71" s="3" t="n">
        <f aca="false">O71*1000/24</f>
        <v>187.5</v>
      </c>
      <c r="Q71" s="3" t="n">
        <v>280</v>
      </c>
      <c r="R71" s="3" t="n">
        <v>0</v>
      </c>
      <c r="S71" s="3" t="n">
        <f aca="false">1013.25*(1-0.0000225577*D71)^5.25588+R71</f>
        <v>1012.5294186124</v>
      </c>
      <c r="T71" s="3" t="s">
        <v>26</v>
      </c>
    </row>
    <row r="72" customFormat="false" ht="15" hidden="false" customHeight="true" outlineLevel="0" collapsed="false">
      <c r="A72" s="3" t="s">
        <v>67</v>
      </c>
      <c r="B72" s="3" t="n">
        <v>13.08</v>
      </c>
      <c r="C72" s="3" t="n">
        <v>80.27</v>
      </c>
      <c r="D72" s="3" t="n">
        <v>6</v>
      </c>
      <c r="E72" s="3" t="s">
        <v>68</v>
      </c>
      <c r="F72" s="3" t="s">
        <v>51</v>
      </c>
      <c r="G72" s="3" t="n">
        <v>11</v>
      </c>
      <c r="H72" s="3" t="s">
        <v>49</v>
      </c>
      <c r="I72" s="3" t="s">
        <v>52</v>
      </c>
      <c r="J72" s="3" t="str">
        <f aca="false">A72&amp;"-"&amp;F72</f>
        <v>Chennai-November</v>
      </c>
      <c r="K72" s="3" t="n">
        <v>26</v>
      </c>
      <c r="L72" s="3" t="n">
        <v>80</v>
      </c>
      <c r="M72" s="3" t="n">
        <v>5</v>
      </c>
      <c r="N72" s="3" t="s">
        <v>59</v>
      </c>
      <c r="O72" s="3" t="n">
        <v>3.8</v>
      </c>
      <c r="P72" s="3" t="n">
        <f aca="false">O72*1000/24</f>
        <v>158.333333333333</v>
      </c>
      <c r="Q72" s="3" t="n">
        <v>320</v>
      </c>
      <c r="R72" s="3" t="n">
        <v>1</v>
      </c>
      <c r="S72" s="3" t="n">
        <f aca="false">1013.25*(1-0.0000225577*D72)^5.25588+R72</f>
        <v>1013.5294186124</v>
      </c>
      <c r="T72" s="3" t="s">
        <v>26</v>
      </c>
    </row>
    <row r="73" customFormat="false" ht="15" hidden="false" customHeight="true" outlineLevel="0" collapsed="false">
      <c r="A73" s="3" t="s">
        <v>67</v>
      </c>
      <c r="B73" s="3" t="n">
        <v>13.08</v>
      </c>
      <c r="C73" s="3" t="n">
        <v>80.27</v>
      </c>
      <c r="D73" s="3" t="n">
        <v>6</v>
      </c>
      <c r="E73" s="3" t="s">
        <v>68</v>
      </c>
      <c r="F73" s="3" t="s">
        <v>53</v>
      </c>
      <c r="G73" s="3" t="n">
        <v>12</v>
      </c>
      <c r="H73" s="3" t="s">
        <v>23</v>
      </c>
      <c r="I73" s="3" t="s">
        <v>54</v>
      </c>
      <c r="J73" s="3" t="str">
        <f aca="false">A73&amp;"-"&amp;F73</f>
        <v>Chennai-December</v>
      </c>
      <c r="K73" s="3" t="n">
        <v>25</v>
      </c>
      <c r="L73" s="3" t="n">
        <v>78</v>
      </c>
      <c r="M73" s="3" t="n">
        <v>4</v>
      </c>
      <c r="N73" s="3" t="s">
        <v>59</v>
      </c>
      <c r="O73" s="3" t="n">
        <v>4</v>
      </c>
      <c r="P73" s="3" t="n">
        <f aca="false">O73*1000/24</f>
        <v>166.666666666667</v>
      </c>
      <c r="Q73" s="3" t="n">
        <v>180</v>
      </c>
      <c r="R73" s="3" t="n">
        <v>2</v>
      </c>
      <c r="S73" s="3" t="n">
        <f aca="false">1013.25*(1-0.0000225577*D73)^5.25588+R73</f>
        <v>1014.5294186124</v>
      </c>
      <c r="T73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0"/>
    <col collapsed="false" customWidth="true" hidden="false" outlineLevel="0" max="21" min="20" style="1" width="55"/>
    <col collapsed="false" customWidth="true" hidden="false" outlineLevel="0" max="22" min="22" style="1" width="70"/>
  </cols>
  <sheetData>
    <row r="1" customFormat="false" ht="15" hidden="false" customHeight="true" outlineLevel="0" collapsed="false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19</v>
      </c>
    </row>
    <row r="2" customFormat="false" ht="15" hidden="false" customHeight="true" outlineLevel="0" collapsed="false">
      <c r="A2" s="3" t="s">
        <v>90</v>
      </c>
      <c r="B2" s="3" t="s">
        <v>91</v>
      </c>
      <c r="C2" s="3" t="s">
        <v>92</v>
      </c>
      <c r="D2" s="3" t="n">
        <v>1.4</v>
      </c>
      <c r="E2" s="3" t="n">
        <v>2400</v>
      </c>
      <c r="F2" s="3" t="n">
        <v>880</v>
      </c>
      <c r="G2" s="3" t="n">
        <v>0.9</v>
      </c>
      <c r="H2" s="3" t="n">
        <v>100</v>
      </c>
      <c r="I2" s="3" t="n">
        <v>300</v>
      </c>
      <c r="J2" s="3" t="n">
        <f aca="false">AVERAGE(H2,I2)</f>
        <v>200</v>
      </c>
      <c r="K2" s="3" t="n">
        <f aca="false">(J2/1000)/D2</f>
        <v>0.142857142857143</v>
      </c>
      <c r="L2" s="3" t="s">
        <v>93</v>
      </c>
      <c r="M2" s="3" t="s">
        <v>94</v>
      </c>
      <c r="N2" s="3" t="str">
        <f aca="false">IF(E2&lt;200,"Light",IF(E2&lt;1000,"Medium","Heavy"))</f>
        <v>Heavy</v>
      </c>
      <c r="O2" s="3" t="s">
        <v>95</v>
      </c>
      <c r="P2" s="3" t="s">
        <v>96</v>
      </c>
      <c r="Q2" s="3" t="s">
        <v>97</v>
      </c>
      <c r="R2" s="3" t="s">
        <v>96</v>
      </c>
      <c r="S2" s="3" t="s">
        <v>98</v>
      </c>
      <c r="T2" s="3" t="s">
        <v>99</v>
      </c>
      <c r="U2" s="3" t="s">
        <v>100</v>
      </c>
      <c r="V2" s="3" t="s">
        <v>101</v>
      </c>
    </row>
    <row r="3" customFormat="false" ht="15" hidden="false" customHeight="true" outlineLevel="0" collapsed="false">
      <c r="A3" s="3" t="s">
        <v>102</v>
      </c>
      <c r="B3" s="3" t="s">
        <v>103</v>
      </c>
      <c r="C3" s="3" t="s">
        <v>92</v>
      </c>
      <c r="D3" s="3" t="n">
        <v>0.7</v>
      </c>
      <c r="E3" s="3" t="n">
        <v>1750</v>
      </c>
      <c r="F3" s="3" t="n">
        <v>840</v>
      </c>
      <c r="G3" s="3" t="n">
        <v>0.93</v>
      </c>
      <c r="H3" s="3" t="n">
        <v>100</v>
      </c>
      <c r="I3" s="3" t="n">
        <v>230</v>
      </c>
      <c r="J3" s="3" t="n">
        <f aca="false">AVERAGE(H3,I3)</f>
        <v>165</v>
      </c>
      <c r="K3" s="3" t="n">
        <f aca="false">(J3/1000)/D3</f>
        <v>0.235714285714286</v>
      </c>
      <c r="L3" s="3" t="s">
        <v>95</v>
      </c>
      <c r="M3" s="3" t="s">
        <v>94</v>
      </c>
      <c r="N3" s="3" t="str">
        <f aca="false">IF(E3&lt;200,"Light",IF(E3&lt;1000,"Medium","Heavy"))</f>
        <v>Heavy</v>
      </c>
      <c r="O3" s="3" t="s">
        <v>104</v>
      </c>
      <c r="P3" s="3" t="s">
        <v>96</v>
      </c>
      <c r="Q3" s="3" t="s">
        <v>97</v>
      </c>
      <c r="R3" s="3" t="s">
        <v>96</v>
      </c>
      <c r="S3" s="3" t="s">
        <v>98</v>
      </c>
      <c r="T3" s="3" t="s">
        <v>105</v>
      </c>
      <c r="U3" s="3" t="s">
        <v>106</v>
      </c>
      <c r="V3" s="3" t="s">
        <v>101</v>
      </c>
    </row>
    <row r="4" customFormat="false" ht="15" hidden="false" customHeight="true" outlineLevel="0" collapsed="false">
      <c r="A4" s="3" t="s">
        <v>107</v>
      </c>
      <c r="B4" s="3" t="s">
        <v>108</v>
      </c>
      <c r="C4" s="3" t="s">
        <v>109</v>
      </c>
      <c r="D4" s="3" t="n">
        <v>47</v>
      </c>
      <c r="E4" s="3" t="n">
        <v>7850</v>
      </c>
      <c r="F4" s="3" t="n">
        <v>490</v>
      </c>
      <c r="G4" s="3" t="n">
        <v>0.2</v>
      </c>
      <c r="H4" s="3" t="n">
        <v>1</v>
      </c>
      <c r="I4" s="3" t="n">
        <v>5</v>
      </c>
      <c r="J4" s="3" t="n">
        <f aca="false">AVERAGE(H4,I4)</f>
        <v>3</v>
      </c>
      <c r="K4" s="3" t="n">
        <f aca="false">(J4/1000)/D4</f>
        <v>6.38297872340426E-005</v>
      </c>
      <c r="L4" s="3" t="s">
        <v>110</v>
      </c>
      <c r="M4" s="3" t="s">
        <v>94</v>
      </c>
      <c r="N4" s="3" t="str">
        <f aca="false">IF(E4&lt;200,"Light",IF(E4&lt;1000,"Medium","Heavy"))</f>
        <v>Heavy</v>
      </c>
      <c r="O4" s="3" t="s">
        <v>93</v>
      </c>
      <c r="P4" s="3" t="s">
        <v>98</v>
      </c>
      <c r="Q4" s="3" t="s">
        <v>96</v>
      </c>
      <c r="R4" s="3" t="s">
        <v>96</v>
      </c>
      <c r="S4" s="3" t="s">
        <v>97</v>
      </c>
      <c r="T4" s="3" t="s">
        <v>111</v>
      </c>
      <c r="U4" s="3" t="s">
        <v>112</v>
      </c>
      <c r="V4" s="3" t="s">
        <v>101</v>
      </c>
    </row>
    <row r="5" customFormat="false" ht="15" hidden="false" customHeight="true" outlineLevel="0" collapsed="false">
      <c r="A5" s="3" t="s">
        <v>113</v>
      </c>
      <c r="B5" s="3" t="s">
        <v>114</v>
      </c>
      <c r="C5" s="3" t="s">
        <v>109</v>
      </c>
      <c r="D5" s="3" t="n">
        <v>205</v>
      </c>
      <c r="E5" s="3" t="n">
        <v>2700</v>
      </c>
      <c r="F5" s="3" t="n">
        <v>900</v>
      </c>
      <c r="G5" s="3" t="n">
        <v>0.2</v>
      </c>
      <c r="H5" s="3" t="n">
        <v>1</v>
      </c>
      <c r="I5" s="3" t="n">
        <v>5</v>
      </c>
      <c r="J5" s="3" t="n">
        <f aca="false">AVERAGE(H5,I5)</f>
        <v>3</v>
      </c>
      <c r="K5" s="3" t="n">
        <f aca="false">(J5/1000)/D5</f>
        <v>1.46341463414634E-005</v>
      </c>
      <c r="L5" s="3" t="s">
        <v>94</v>
      </c>
      <c r="M5" s="3" t="s">
        <v>93</v>
      </c>
      <c r="N5" s="3" t="str">
        <f aca="false">IF(E5&lt;200,"Light",IF(E5&lt;1000,"Medium","Heavy"))</f>
        <v>Heavy</v>
      </c>
      <c r="O5" s="3" t="s">
        <v>94</v>
      </c>
      <c r="P5" s="3" t="s">
        <v>98</v>
      </c>
      <c r="Q5" s="3" t="s">
        <v>96</v>
      </c>
      <c r="R5" s="3" t="s">
        <v>96</v>
      </c>
      <c r="S5" s="3" t="s">
        <v>97</v>
      </c>
      <c r="T5" s="3" t="s">
        <v>115</v>
      </c>
      <c r="U5" s="3" t="s">
        <v>116</v>
      </c>
      <c r="V5" s="3" t="s">
        <v>101</v>
      </c>
    </row>
    <row r="6" customFormat="false" ht="15" hidden="false" customHeight="true" outlineLevel="0" collapsed="false">
      <c r="A6" s="3" t="s">
        <v>117</v>
      </c>
      <c r="B6" s="3" t="s">
        <v>118</v>
      </c>
      <c r="C6" s="3" t="s">
        <v>119</v>
      </c>
      <c r="D6" s="3" t="n">
        <v>0.13</v>
      </c>
      <c r="E6" s="3" t="n">
        <v>560</v>
      </c>
      <c r="F6" s="3" t="n">
        <v>1600</v>
      </c>
      <c r="G6" s="3" t="n">
        <v>0.9</v>
      </c>
      <c r="H6" s="3" t="n">
        <v>9</v>
      </c>
      <c r="I6" s="3" t="n">
        <v>25</v>
      </c>
      <c r="J6" s="3" t="n">
        <f aca="false">AVERAGE(H6,I6)</f>
        <v>17</v>
      </c>
      <c r="K6" s="3" t="n">
        <f aca="false">(J6/1000)/D6</f>
        <v>0.130769230769231</v>
      </c>
      <c r="L6" s="3" t="s">
        <v>104</v>
      </c>
      <c r="M6" s="3" t="s">
        <v>95</v>
      </c>
      <c r="N6" s="3" t="str">
        <f aca="false">IF(E6&lt;200,"Light",IF(E6&lt;1000,"Medium","Heavy"))</f>
        <v>Medium</v>
      </c>
      <c r="O6" s="3" t="s">
        <v>95</v>
      </c>
      <c r="P6" s="3" t="s">
        <v>96</v>
      </c>
      <c r="Q6" s="3" t="s">
        <v>96</v>
      </c>
      <c r="R6" s="3" t="s">
        <v>98</v>
      </c>
      <c r="S6" s="3" t="s">
        <v>97</v>
      </c>
      <c r="T6" s="3" t="s">
        <v>120</v>
      </c>
      <c r="U6" s="3" t="s">
        <v>121</v>
      </c>
      <c r="V6" s="3" t="s">
        <v>101</v>
      </c>
    </row>
    <row r="7" customFormat="false" ht="15" hidden="false" customHeight="true" outlineLevel="0" collapsed="false">
      <c r="A7" s="3" t="s">
        <v>122</v>
      </c>
      <c r="B7" s="3" t="s">
        <v>123</v>
      </c>
      <c r="C7" s="3" t="s">
        <v>124</v>
      </c>
      <c r="D7" s="3" t="n">
        <v>0.14</v>
      </c>
      <c r="E7" s="3" t="n">
        <v>550</v>
      </c>
      <c r="F7" s="3" t="n">
        <v>1700</v>
      </c>
      <c r="G7" s="3" t="n">
        <v>0.9</v>
      </c>
      <c r="H7" s="3" t="n">
        <v>20</v>
      </c>
      <c r="I7" s="3" t="n">
        <v>50</v>
      </c>
      <c r="J7" s="3" t="n">
        <f aca="false">AVERAGE(H7,I7)</f>
        <v>35</v>
      </c>
      <c r="K7" s="3" t="n">
        <f aca="false">(J7/1000)/D7</f>
        <v>0.25</v>
      </c>
      <c r="L7" s="3" t="s">
        <v>104</v>
      </c>
      <c r="M7" s="3" t="s">
        <v>95</v>
      </c>
      <c r="N7" s="3" t="str">
        <f aca="false">IF(E7&lt;200,"Light",IF(E7&lt;1000,"Medium","Heavy"))</f>
        <v>Medium</v>
      </c>
      <c r="O7" s="3" t="s">
        <v>95</v>
      </c>
      <c r="P7" s="3" t="s">
        <v>97</v>
      </c>
      <c r="Q7" s="3" t="s">
        <v>96</v>
      </c>
      <c r="R7" s="3" t="s">
        <v>98</v>
      </c>
      <c r="S7" s="3" t="s">
        <v>97</v>
      </c>
      <c r="T7" s="3" t="s">
        <v>125</v>
      </c>
      <c r="U7" s="3" t="s">
        <v>126</v>
      </c>
      <c r="V7" s="3" t="s">
        <v>101</v>
      </c>
    </row>
    <row r="8" customFormat="false" ht="15" hidden="false" customHeight="true" outlineLevel="0" collapsed="false">
      <c r="A8" s="3" t="s">
        <v>127</v>
      </c>
      <c r="B8" s="3" t="s">
        <v>128</v>
      </c>
      <c r="C8" s="3" t="s">
        <v>129</v>
      </c>
      <c r="D8" s="3" t="n">
        <v>0.036</v>
      </c>
      <c r="E8" s="3" t="n">
        <v>20</v>
      </c>
      <c r="F8" s="3" t="n">
        <v>1300</v>
      </c>
      <c r="G8" s="3" t="n">
        <v>0.6</v>
      </c>
      <c r="H8" s="3" t="n">
        <v>25</v>
      </c>
      <c r="I8" s="3" t="n">
        <v>150</v>
      </c>
      <c r="J8" s="3" t="n">
        <f aca="false">AVERAGE(H8,I8)</f>
        <v>87.5</v>
      </c>
      <c r="K8" s="3" t="n">
        <f aca="false">(J8/1000)/D8</f>
        <v>2.43055555555556</v>
      </c>
      <c r="L8" s="3" t="s">
        <v>95</v>
      </c>
      <c r="M8" s="3" t="s">
        <v>95</v>
      </c>
      <c r="N8" s="3" t="str">
        <f aca="false">IF(E8&lt;200,"Light",IF(E8&lt;1000,"Medium","Heavy"))</f>
        <v>Light</v>
      </c>
      <c r="O8" s="3" t="s">
        <v>104</v>
      </c>
      <c r="P8" s="3" t="s">
        <v>97</v>
      </c>
      <c r="Q8" s="3" t="s">
        <v>97</v>
      </c>
      <c r="R8" s="3" t="s">
        <v>97</v>
      </c>
      <c r="S8" s="3" t="s">
        <v>97</v>
      </c>
      <c r="T8" s="3" t="s">
        <v>130</v>
      </c>
      <c r="U8" s="3" t="s">
        <v>131</v>
      </c>
      <c r="V8" s="3" t="s">
        <v>101</v>
      </c>
    </row>
    <row r="9" customFormat="false" ht="15" hidden="false" customHeight="true" outlineLevel="0" collapsed="false">
      <c r="A9" s="3" t="s">
        <v>132</v>
      </c>
      <c r="B9" s="3" t="s">
        <v>133</v>
      </c>
      <c r="C9" s="3" t="s">
        <v>129</v>
      </c>
      <c r="D9" s="3" t="n">
        <v>0.031</v>
      </c>
      <c r="E9" s="3" t="n">
        <v>35</v>
      </c>
      <c r="F9" s="3" t="n">
        <v>1450</v>
      </c>
      <c r="G9" s="3" t="n">
        <v>0.6</v>
      </c>
      <c r="H9" s="3" t="n">
        <v>25</v>
      </c>
      <c r="I9" s="3" t="n">
        <v>100</v>
      </c>
      <c r="J9" s="3" t="n">
        <f aca="false">AVERAGE(H9,I9)</f>
        <v>62.5</v>
      </c>
      <c r="K9" s="3" t="n">
        <f aca="false">(J9/1000)/D9</f>
        <v>2.01612903225806</v>
      </c>
      <c r="L9" s="3" t="s">
        <v>94</v>
      </c>
      <c r="M9" s="3" t="s">
        <v>93</v>
      </c>
      <c r="N9" s="3" t="str">
        <f aca="false">IF(E9&lt;200,"Light",IF(E9&lt;1000,"Medium","Heavy"))</f>
        <v>Light</v>
      </c>
      <c r="O9" s="3" t="s">
        <v>95</v>
      </c>
      <c r="P9" s="3" t="s">
        <v>97</v>
      </c>
      <c r="Q9" s="3" t="s">
        <v>97</v>
      </c>
      <c r="R9" s="3" t="s">
        <v>97</v>
      </c>
      <c r="S9" s="3" t="s">
        <v>97</v>
      </c>
      <c r="T9" s="3" t="s">
        <v>134</v>
      </c>
      <c r="U9" s="3" t="s">
        <v>135</v>
      </c>
      <c r="V9" s="3" t="s">
        <v>101</v>
      </c>
    </row>
    <row r="10" customFormat="false" ht="15" hidden="false" customHeight="true" outlineLevel="0" collapsed="false">
      <c r="A10" s="3" t="s">
        <v>136</v>
      </c>
      <c r="B10" s="3" t="s">
        <v>137</v>
      </c>
      <c r="C10" s="3" t="s">
        <v>129</v>
      </c>
      <c r="D10" s="3" t="n">
        <v>0.04</v>
      </c>
      <c r="E10" s="3" t="n">
        <v>60</v>
      </c>
      <c r="F10" s="3" t="n">
        <v>900</v>
      </c>
      <c r="G10" s="3" t="n">
        <v>0.9</v>
      </c>
      <c r="H10" s="3" t="n">
        <v>50</v>
      </c>
      <c r="I10" s="3" t="n">
        <v>200</v>
      </c>
      <c r="J10" s="3" t="n">
        <f aca="false">AVERAGE(H10,I10)</f>
        <v>125</v>
      </c>
      <c r="K10" s="3" t="n">
        <f aca="false">(J10/1000)/D10</f>
        <v>3.125</v>
      </c>
      <c r="L10" s="3" t="s">
        <v>138</v>
      </c>
      <c r="M10" s="3" t="s">
        <v>95</v>
      </c>
      <c r="N10" s="3" t="str">
        <f aca="false">IF(E10&lt;200,"Light",IF(E10&lt;1000,"Medium","Heavy"))</f>
        <v>Light</v>
      </c>
      <c r="O10" s="3" t="s">
        <v>95</v>
      </c>
      <c r="P10" s="3" t="s">
        <v>97</v>
      </c>
      <c r="Q10" s="3" t="s">
        <v>96</v>
      </c>
      <c r="R10" s="3" t="s">
        <v>98</v>
      </c>
      <c r="S10" s="3" t="s">
        <v>96</v>
      </c>
      <c r="T10" s="3" t="s">
        <v>139</v>
      </c>
      <c r="U10" s="3" t="s">
        <v>140</v>
      </c>
      <c r="V10" s="3" t="s">
        <v>101</v>
      </c>
    </row>
    <row r="11" customFormat="false" ht="15" hidden="false" customHeight="true" outlineLevel="0" collapsed="false">
      <c r="A11" s="3" t="s">
        <v>141</v>
      </c>
      <c r="B11" s="3" t="s">
        <v>142</v>
      </c>
      <c r="C11" s="3" t="s">
        <v>129</v>
      </c>
      <c r="D11" s="3" t="n">
        <v>0.038</v>
      </c>
      <c r="E11" s="3" t="n">
        <v>24</v>
      </c>
      <c r="F11" s="3" t="n">
        <v>840</v>
      </c>
      <c r="G11" s="3" t="n">
        <v>0.9</v>
      </c>
      <c r="H11" s="3" t="n">
        <v>50</v>
      </c>
      <c r="I11" s="3" t="n">
        <v>200</v>
      </c>
      <c r="J11" s="3" t="n">
        <f aca="false">AVERAGE(H11,I11)</f>
        <v>125</v>
      </c>
      <c r="K11" s="3" t="n">
        <f aca="false">(J11/1000)/D11</f>
        <v>3.28947368421053</v>
      </c>
      <c r="L11" s="3" t="s">
        <v>104</v>
      </c>
      <c r="M11" s="3" t="s">
        <v>95</v>
      </c>
      <c r="N11" s="3" t="str">
        <f aca="false">IF(E11&lt;200,"Light",IF(E11&lt;1000,"Medium","Heavy"))</f>
        <v>Light</v>
      </c>
      <c r="O11" s="3" t="s">
        <v>104</v>
      </c>
      <c r="P11" s="3" t="s">
        <v>97</v>
      </c>
      <c r="Q11" s="3" t="s">
        <v>96</v>
      </c>
      <c r="R11" s="3" t="s">
        <v>98</v>
      </c>
      <c r="S11" s="3" t="s">
        <v>96</v>
      </c>
      <c r="T11" s="3" t="s">
        <v>143</v>
      </c>
      <c r="U11" s="3" t="s">
        <v>144</v>
      </c>
      <c r="V11" s="3" t="s">
        <v>101</v>
      </c>
    </row>
    <row r="12" customFormat="false" ht="15" hidden="false" customHeight="true" outlineLevel="0" collapsed="false">
      <c r="A12" s="3" t="s">
        <v>145</v>
      </c>
      <c r="B12" s="3" t="s">
        <v>146</v>
      </c>
      <c r="C12" s="3" t="s">
        <v>129</v>
      </c>
      <c r="D12" s="3" t="n">
        <v>0.025</v>
      </c>
      <c r="E12" s="3" t="n">
        <v>35</v>
      </c>
      <c r="F12" s="3" t="n">
        <v>1450</v>
      </c>
      <c r="G12" s="3" t="n">
        <v>0.9</v>
      </c>
      <c r="H12" s="3" t="n">
        <v>25</v>
      </c>
      <c r="I12" s="3" t="n">
        <v>100</v>
      </c>
      <c r="J12" s="3" t="n">
        <f aca="false">AVERAGE(H12,I12)</f>
        <v>62.5</v>
      </c>
      <c r="K12" s="3" t="n">
        <f aca="false">(J12/1000)/D12</f>
        <v>2.5</v>
      </c>
      <c r="L12" s="3" t="s">
        <v>94</v>
      </c>
      <c r="M12" s="3" t="s">
        <v>94</v>
      </c>
      <c r="N12" s="3" t="str">
        <f aca="false">IF(E12&lt;200,"Light",IF(E12&lt;1000,"Medium","Heavy"))</f>
        <v>Light</v>
      </c>
      <c r="O12" s="3" t="s">
        <v>94</v>
      </c>
      <c r="P12" s="3" t="s">
        <v>97</v>
      </c>
      <c r="Q12" s="3" t="s">
        <v>97</v>
      </c>
      <c r="R12" s="3" t="s">
        <v>97</v>
      </c>
      <c r="S12" s="3" t="s">
        <v>96</v>
      </c>
      <c r="T12" s="3" t="s">
        <v>147</v>
      </c>
      <c r="U12" s="3" t="s">
        <v>148</v>
      </c>
      <c r="V12" s="3" t="s">
        <v>101</v>
      </c>
    </row>
    <row r="13" customFormat="false" ht="15" hidden="false" customHeight="true" outlineLevel="0" collapsed="false">
      <c r="A13" s="3" t="s">
        <v>149</v>
      </c>
      <c r="B13" s="3" t="s">
        <v>150</v>
      </c>
      <c r="C13" s="3" t="s">
        <v>151</v>
      </c>
      <c r="D13" s="3" t="n">
        <v>0.05</v>
      </c>
      <c r="E13" s="3" t="n">
        <v>400</v>
      </c>
      <c r="F13" s="3" t="n">
        <v>1300</v>
      </c>
      <c r="G13" s="3" t="n">
        <v>0.85</v>
      </c>
      <c r="H13" s="3" t="n">
        <v>0.5</v>
      </c>
      <c r="I13" s="3" t="n">
        <v>2</v>
      </c>
      <c r="J13" s="3" t="n">
        <f aca="false">AVERAGE(H13,I13)</f>
        <v>1.25</v>
      </c>
      <c r="K13" s="3" t="n">
        <f aca="false">(J13/1000)/D13</f>
        <v>0.025</v>
      </c>
      <c r="L13" s="3" t="s">
        <v>152</v>
      </c>
      <c r="M13" s="3" t="s">
        <v>138</v>
      </c>
      <c r="N13" s="3" t="str">
        <f aca="false">IF(E13&lt;200,"Light",IF(E13&lt;1000,"Medium","Heavy"))</f>
        <v>Medium</v>
      </c>
      <c r="O13" s="3" t="s">
        <v>138</v>
      </c>
      <c r="P13" s="3" t="s">
        <v>98</v>
      </c>
      <c r="Q13" s="3" t="s">
        <v>96</v>
      </c>
      <c r="R13" s="3" t="s">
        <v>96</v>
      </c>
      <c r="S13" s="3" t="s">
        <v>97</v>
      </c>
      <c r="T13" s="3" t="s">
        <v>153</v>
      </c>
      <c r="U13" s="3" t="s">
        <v>154</v>
      </c>
      <c r="V13" s="3" t="s">
        <v>101</v>
      </c>
    </row>
    <row r="14" customFormat="false" ht="15" hidden="false" customHeight="true" outlineLevel="0" collapsed="false">
      <c r="A14" s="3" t="s">
        <v>155</v>
      </c>
      <c r="B14" s="3" t="s">
        <v>156</v>
      </c>
      <c r="C14" s="3" t="s">
        <v>151</v>
      </c>
      <c r="D14" s="3" t="n">
        <v>0.04</v>
      </c>
      <c r="E14" s="3" t="n">
        <v>200</v>
      </c>
      <c r="F14" s="3" t="n">
        <v>1200</v>
      </c>
      <c r="G14" s="3" t="n">
        <v>0.85</v>
      </c>
      <c r="H14" s="3" t="n">
        <v>0.3</v>
      </c>
      <c r="I14" s="3" t="n">
        <v>1</v>
      </c>
      <c r="J14" s="3" t="n">
        <f aca="false">AVERAGE(H14,I14)</f>
        <v>0.65</v>
      </c>
      <c r="K14" s="3" t="n">
        <f aca="false">(J14/1000)/D14</f>
        <v>0.01625</v>
      </c>
      <c r="L14" s="3" t="s">
        <v>95</v>
      </c>
      <c r="M14" s="3" t="s">
        <v>104</v>
      </c>
      <c r="N14" s="3" t="str">
        <f aca="false">IF(E14&lt;200,"Light",IF(E14&lt;1000,"Medium","Heavy"))</f>
        <v>Medium</v>
      </c>
      <c r="O14" s="3" t="s">
        <v>138</v>
      </c>
      <c r="P14" s="3" t="s">
        <v>98</v>
      </c>
      <c r="Q14" s="3" t="s">
        <v>98</v>
      </c>
      <c r="R14" s="3" t="s">
        <v>98</v>
      </c>
      <c r="S14" s="3" t="s">
        <v>96</v>
      </c>
      <c r="T14" s="3" t="s">
        <v>157</v>
      </c>
      <c r="U14" s="3" t="s">
        <v>158</v>
      </c>
      <c r="V14" s="3" t="s">
        <v>101</v>
      </c>
    </row>
    <row r="15" customFormat="false" ht="15" hidden="false" customHeight="true" outlineLevel="0" collapsed="false">
      <c r="A15" s="3" t="s">
        <v>159</v>
      </c>
      <c r="B15" s="3" t="s">
        <v>160</v>
      </c>
      <c r="C15" s="3" t="s">
        <v>161</v>
      </c>
      <c r="D15" s="3" t="n">
        <v>0.6</v>
      </c>
      <c r="E15" s="3" t="n">
        <v>1400</v>
      </c>
      <c r="F15" s="3" t="n">
        <v>830</v>
      </c>
      <c r="G15" s="3" t="n">
        <v>0.9</v>
      </c>
      <c r="H15" s="3" t="n">
        <v>200</v>
      </c>
      <c r="I15" s="3" t="n">
        <v>400</v>
      </c>
      <c r="J15" s="3" t="n">
        <f aca="false">AVERAGE(H15,I15)</f>
        <v>300</v>
      </c>
      <c r="K15" s="3" t="n">
        <f aca="false">(J15/1000)/D15</f>
        <v>0.5</v>
      </c>
      <c r="L15" s="3" t="s">
        <v>138</v>
      </c>
      <c r="M15" s="3" t="s">
        <v>95</v>
      </c>
      <c r="N15" s="3" t="str">
        <f aca="false">IF(E15&lt;200,"Light",IF(E15&lt;1000,"Medium","Heavy"))</f>
        <v>Heavy</v>
      </c>
      <c r="O15" s="3" t="s">
        <v>162</v>
      </c>
      <c r="P15" s="3" t="s">
        <v>97</v>
      </c>
      <c r="Q15" s="3" t="s">
        <v>97</v>
      </c>
      <c r="R15" s="3" t="s">
        <v>98</v>
      </c>
      <c r="S15" s="3" t="s">
        <v>98</v>
      </c>
      <c r="T15" s="3" t="s">
        <v>163</v>
      </c>
      <c r="U15" s="3" t="s">
        <v>164</v>
      </c>
      <c r="V15" s="3" t="s">
        <v>101</v>
      </c>
    </row>
    <row r="16" customFormat="false" ht="15" hidden="false" customHeight="true" outlineLevel="0" collapsed="false">
      <c r="A16" s="3" t="s">
        <v>165</v>
      </c>
      <c r="B16" s="3" t="s">
        <v>166</v>
      </c>
      <c r="C16" s="3" t="s">
        <v>161</v>
      </c>
      <c r="D16" s="3" t="n">
        <v>1</v>
      </c>
      <c r="E16" s="3" t="n">
        <v>1900</v>
      </c>
      <c r="F16" s="3" t="n">
        <v>850</v>
      </c>
      <c r="G16" s="3" t="n">
        <v>0.9</v>
      </c>
      <c r="H16" s="3" t="n">
        <v>200</v>
      </c>
      <c r="I16" s="3" t="n">
        <v>400</v>
      </c>
      <c r="J16" s="3" t="n">
        <f aca="false">AVERAGE(H16,I16)</f>
        <v>300</v>
      </c>
      <c r="K16" s="3" t="n">
        <f aca="false">(J16/1000)/D16</f>
        <v>0.3</v>
      </c>
      <c r="L16" s="3" t="s">
        <v>104</v>
      </c>
      <c r="M16" s="3" t="s">
        <v>93</v>
      </c>
      <c r="N16" s="3" t="str">
        <f aca="false">IF(E16&lt;200,"Light",IF(E16&lt;1000,"Medium","Heavy"))</f>
        <v>Heavy</v>
      </c>
      <c r="O16" s="3" t="s">
        <v>162</v>
      </c>
      <c r="P16" s="3" t="s">
        <v>97</v>
      </c>
      <c r="Q16" s="3" t="s">
        <v>97</v>
      </c>
      <c r="R16" s="3" t="s">
        <v>98</v>
      </c>
      <c r="S16" s="3" t="s">
        <v>98</v>
      </c>
      <c r="T16" s="3" t="s">
        <v>167</v>
      </c>
      <c r="U16" s="3" t="s">
        <v>168</v>
      </c>
      <c r="V16" s="3" t="s">
        <v>101</v>
      </c>
    </row>
    <row r="17" customFormat="false" ht="15" hidden="false" customHeight="true" outlineLevel="0" collapsed="false">
      <c r="A17" s="3" t="s">
        <v>169</v>
      </c>
      <c r="B17" s="3" t="s">
        <v>170</v>
      </c>
      <c r="C17" s="3" t="s">
        <v>171</v>
      </c>
      <c r="D17" s="3" t="n">
        <v>0.03</v>
      </c>
      <c r="E17" s="3" t="n">
        <v>45</v>
      </c>
      <c r="F17" s="3" t="n">
        <v>1400</v>
      </c>
      <c r="G17" s="3" t="n">
        <v>0.85</v>
      </c>
      <c r="H17" s="3" t="n">
        <v>50</v>
      </c>
      <c r="I17" s="3" t="n">
        <v>150</v>
      </c>
      <c r="J17" s="3" t="n">
        <f aca="false">AVERAGE(H17,I17)</f>
        <v>100</v>
      </c>
      <c r="K17" s="3" t="n">
        <f aca="false">(J17/1000)/D17</f>
        <v>3.33333333333333</v>
      </c>
      <c r="L17" s="3" t="s">
        <v>94</v>
      </c>
      <c r="M17" s="3" t="s">
        <v>94</v>
      </c>
      <c r="N17" s="3" t="str">
        <f aca="false">IF(E17&lt;200,"Light",IF(E17&lt;1000,"Medium","Heavy"))</f>
        <v>Light</v>
      </c>
      <c r="O17" s="3" t="s">
        <v>94</v>
      </c>
      <c r="P17" s="3" t="s">
        <v>97</v>
      </c>
      <c r="Q17" s="3" t="s">
        <v>97</v>
      </c>
      <c r="R17" s="3" t="s">
        <v>97</v>
      </c>
      <c r="S17" s="3" t="s">
        <v>97</v>
      </c>
      <c r="T17" s="3" t="s">
        <v>172</v>
      </c>
      <c r="U17" s="3" t="s">
        <v>173</v>
      </c>
      <c r="V17" s="3" t="s">
        <v>101</v>
      </c>
    </row>
    <row r="18" customFormat="false" ht="15" hidden="false" customHeight="true" outlineLevel="0" collapsed="false">
      <c r="A18" s="3" t="s">
        <v>174</v>
      </c>
      <c r="B18" s="3" t="s">
        <v>175</v>
      </c>
      <c r="C18" s="3" t="s">
        <v>129</v>
      </c>
      <c r="D18" s="3" t="n">
        <v>0.038</v>
      </c>
      <c r="E18" s="3" t="n">
        <v>100</v>
      </c>
      <c r="F18" s="3" t="n">
        <v>840</v>
      </c>
      <c r="G18" s="3" t="n">
        <v>0.9</v>
      </c>
      <c r="H18" s="3" t="n">
        <v>40</v>
      </c>
      <c r="I18" s="3" t="n">
        <v>160</v>
      </c>
      <c r="J18" s="3" t="n">
        <f aca="false">AVERAGE(H18,I18)</f>
        <v>100</v>
      </c>
      <c r="K18" s="3" t="n">
        <f aca="false">(J18/1000)/D18</f>
        <v>2.63157894736842</v>
      </c>
      <c r="L18" s="3" t="s">
        <v>138</v>
      </c>
      <c r="M18" s="3" t="s">
        <v>93</v>
      </c>
      <c r="N18" s="3" t="str">
        <f aca="false">IF(E18&lt;200,"Light",IF(E18&lt;1000,"Medium","Heavy"))</f>
        <v>Light</v>
      </c>
      <c r="O18" s="3" t="s">
        <v>95</v>
      </c>
      <c r="P18" s="3" t="s">
        <v>97</v>
      </c>
      <c r="Q18" s="3" t="s">
        <v>96</v>
      </c>
      <c r="R18" s="3" t="s">
        <v>96</v>
      </c>
      <c r="S18" s="3" t="s">
        <v>96</v>
      </c>
      <c r="T18" s="3" t="s">
        <v>176</v>
      </c>
      <c r="U18" s="3" t="s">
        <v>177</v>
      </c>
      <c r="V18" s="3" t="s">
        <v>101</v>
      </c>
    </row>
    <row r="19" customFormat="false" ht="15" hidden="false" customHeight="true" outlineLevel="0" collapsed="false">
      <c r="A19" s="3" t="s">
        <v>178</v>
      </c>
      <c r="B19" s="3" t="s">
        <v>179</v>
      </c>
      <c r="C19" s="3" t="s">
        <v>180</v>
      </c>
      <c r="D19" s="3" t="n">
        <v>0.07</v>
      </c>
      <c r="E19" s="3" t="n">
        <v>110</v>
      </c>
      <c r="F19" s="3" t="n">
        <v>2000</v>
      </c>
      <c r="G19" s="3" t="n">
        <v>0.9</v>
      </c>
      <c r="H19" s="3" t="n">
        <v>300</v>
      </c>
      <c r="I19" s="3" t="n">
        <v>450</v>
      </c>
      <c r="J19" s="3" t="n">
        <f aca="false">AVERAGE(H19,I19)</f>
        <v>375</v>
      </c>
      <c r="K19" s="3" t="n">
        <f aca="false">(J19/1000)/D19</f>
        <v>5.35714285714286</v>
      </c>
      <c r="L19" s="3" t="s">
        <v>181</v>
      </c>
      <c r="M19" s="3" t="s">
        <v>95</v>
      </c>
      <c r="N19" s="3" t="str">
        <f aca="false">IF(E19&lt;200,"Light",IF(E19&lt;1000,"Medium","Heavy"))</f>
        <v>Light</v>
      </c>
      <c r="O19" s="3" t="s">
        <v>162</v>
      </c>
      <c r="P19" s="3" t="s">
        <v>97</v>
      </c>
      <c r="Q19" s="3" t="s">
        <v>96</v>
      </c>
      <c r="R19" s="3" t="s">
        <v>98</v>
      </c>
      <c r="S19" s="3" t="s">
        <v>98</v>
      </c>
      <c r="T19" s="3" t="s">
        <v>182</v>
      </c>
      <c r="U19" s="3" t="s">
        <v>183</v>
      </c>
      <c r="V19" s="3" t="s">
        <v>101</v>
      </c>
    </row>
    <row r="20" customFormat="false" ht="15" hidden="false" customHeight="true" outlineLevel="0" collapsed="false">
      <c r="A20" s="3" t="s">
        <v>184</v>
      </c>
      <c r="B20" s="3" t="s">
        <v>185</v>
      </c>
      <c r="C20" s="3" t="s">
        <v>109</v>
      </c>
      <c r="D20" s="3" t="n">
        <v>50</v>
      </c>
      <c r="E20" s="3" t="n">
        <v>7850</v>
      </c>
      <c r="F20" s="3" t="n">
        <v>480</v>
      </c>
      <c r="G20" s="3" t="n">
        <v>0.25</v>
      </c>
      <c r="H20" s="3" t="n">
        <v>0.4</v>
      </c>
      <c r="I20" s="3" t="n">
        <v>1</v>
      </c>
      <c r="J20" s="3" t="n">
        <f aca="false">AVERAGE(H20,I20)</f>
        <v>0.7</v>
      </c>
      <c r="K20" s="3" t="n">
        <f aca="false">(J20/1000)/D20</f>
        <v>1.4E-005</v>
      </c>
      <c r="L20" s="3" t="s">
        <v>186</v>
      </c>
      <c r="M20" s="3" t="s">
        <v>94</v>
      </c>
      <c r="N20" s="3" t="str">
        <f aca="false">IF(E20&lt;200,"Light",IF(E20&lt;1000,"Medium","Heavy"))</f>
        <v>Heavy</v>
      </c>
      <c r="O20" s="3" t="s">
        <v>104</v>
      </c>
      <c r="P20" s="3" t="s">
        <v>98</v>
      </c>
      <c r="Q20" s="3" t="s">
        <v>98</v>
      </c>
      <c r="R20" s="3" t="s">
        <v>96</v>
      </c>
      <c r="S20" s="3" t="s">
        <v>97</v>
      </c>
      <c r="T20" s="3" t="s">
        <v>187</v>
      </c>
      <c r="U20" s="3" t="s">
        <v>188</v>
      </c>
      <c r="V20" s="3" t="s">
        <v>101</v>
      </c>
    </row>
    <row r="21" customFormat="false" ht="15" hidden="false" customHeight="true" outlineLevel="0" collapsed="false">
      <c r="A21" s="3" t="s">
        <v>189</v>
      </c>
      <c r="B21" s="3" t="s">
        <v>190</v>
      </c>
      <c r="C21" s="3" t="s">
        <v>129</v>
      </c>
      <c r="D21" s="3" t="n">
        <v>0.033</v>
      </c>
      <c r="E21" s="3" t="n">
        <v>48</v>
      </c>
      <c r="F21" s="3" t="n">
        <v>840</v>
      </c>
      <c r="G21" s="3" t="n">
        <v>0.9</v>
      </c>
      <c r="H21" s="3" t="n">
        <v>75</v>
      </c>
      <c r="I21" s="3" t="n">
        <v>200</v>
      </c>
      <c r="J21" s="3" t="n">
        <f aca="false">AVERAGE(H21,I21)</f>
        <v>137.5</v>
      </c>
      <c r="K21" s="3" t="n">
        <f aca="false">(J21/1000)/D21</f>
        <v>4.16666666666667</v>
      </c>
      <c r="L21" s="3" t="s">
        <v>104</v>
      </c>
      <c r="M21" s="3" t="s">
        <v>95</v>
      </c>
      <c r="N21" s="3" t="str">
        <f aca="false">IF(E21&lt;200,"Light",IF(E21&lt;1000,"Medium","Heavy"))</f>
        <v>Light</v>
      </c>
      <c r="O21" s="3" t="s">
        <v>95</v>
      </c>
      <c r="P21" s="3" t="s">
        <v>97</v>
      </c>
      <c r="Q21" s="3" t="s">
        <v>96</v>
      </c>
      <c r="R21" s="3" t="s">
        <v>98</v>
      </c>
      <c r="S21" s="3" t="s">
        <v>96</v>
      </c>
      <c r="T21" s="3" t="s">
        <v>191</v>
      </c>
      <c r="U21" s="3" t="s">
        <v>192</v>
      </c>
      <c r="V21" s="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2"/>
    <col collapsed="false" customWidth="true" hidden="false" outlineLevel="0" max="8" min="8" style="1" width="40"/>
    <col collapsed="false" customWidth="true" hidden="false" outlineLevel="0" max="29" min="29" style="1" width="55"/>
  </cols>
  <sheetData>
    <row r="1" customFormat="false" ht="15" hidden="false" customHeight="true" outlineLevel="0" collapsed="false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202</v>
      </c>
      <c r="K1" s="2" t="s">
        <v>203</v>
      </c>
      <c r="L1" s="2" t="s">
        <v>204</v>
      </c>
      <c r="M1" s="2" t="s">
        <v>205</v>
      </c>
      <c r="N1" s="2" t="s">
        <v>206</v>
      </c>
      <c r="O1" s="2" t="s">
        <v>207</v>
      </c>
      <c r="P1" s="2" t="s">
        <v>208</v>
      </c>
      <c r="Q1" s="2" t="s">
        <v>209</v>
      </c>
      <c r="R1" s="2" t="s">
        <v>210</v>
      </c>
      <c r="S1" s="2" t="s">
        <v>211</v>
      </c>
      <c r="T1" s="2" t="s">
        <v>212</v>
      </c>
      <c r="U1" s="2" t="s">
        <v>213</v>
      </c>
      <c r="V1" s="2" t="s">
        <v>214</v>
      </c>
      <c r="W1" s="2" t="s">
        <v>215</v>
      </c>
      <c r="X1" s="2" t="s">
        <v>216</v>
      </c>
      <c r="Y1" s="2" t="s">
        <v>217</v>
      </c>
      <c r="Z1" s="2" t="s">
        <v>218</v>
      </c>
      <c r="AA1" s="2" t="s">
        <v>219</v>
      </c>
      <c r="AB1" s="2" t="s">
        <v>220</v>
      </c>
      <c r="AC1" s="2" t="s">
        <v>19</v>
      </c>
    </row>
    <row r="2" customFormat="false" ht="15" hidden="false" customHeight="true" outlineLevel="0" collapsed="false">
      <c r="A2" s="3" t="s">
        <v>221</v>
      </c>
      <c r="B2" s="3" t="s">
        <v>222</v>
      </c>
      <c r="C2" s="3" t="n">
        <v>3</v>
      </c>
      <c r="D2" s="3" t="n">
        <v>3</v>
      </c>
      <c r="E2" s="3" t="n">
        <v>2.4</v>
      </c>
      <c r="F2" s="3" t="n">
        <f aca="false">C2*D2</f>
        <v>9</v>
      </c>
      <c r="G2" s="3" t="n">
        <f aca="false">C2*D2*E2</f>
        <v>21.6</v>
      </c>
      <c r="H2" s="3" t="s">
        <v>223</v>
      </c>
      <c r="I2" s="3" t="s">
        <v>122</v>
      </c>
      <c r="J2" s="3" t="s">
        <v>169</v>
      </c>
      <c r="K2" s="3" t="s">
        <v>90</v>
      </c>
      <c r="L2" s="3" t="s">
        <v>145</v>
      </c>
      <c r="M2" s="3" t="n">
        <v>150</v>
      </c>
      <c r="N2" s="3" t="n">
        <v>100</v>
      </c>
      <c r="O2" s="3" t="n">
        <v>100</v>
      </c>
      <c r="P2" s="3" t="n">
        <v>1.2</v>
      </c>
      <c r="Q2" s="3" t="n">
        <f aca="false">2*(C2+D2)*E2</f>
        <v>28.8</v>
      </c>
      <c r="R2" s="3" t="n">
        <f aca="false">Q2-P2</f>
        <v>27.6</v>
      </c>
      <c r="S2" s="3" t="n">
        <f aca="false">P2/Q2</f>
        <v>0.0416666666666667</v>
      </c>
      <c r="T2" s="3" t="s">
        <v>224</v>
      </c>
      <c r="U2" s="3" t="n">
        <v>2</v>
      </c>
      <c r="V2" s="3" t="s">
        <v>225</v>
      </c>
      <c r="W2" s="3" t="s">
        <v>226</v>
      </c>
      <c r="X2" s="3" t="n">
        <v>0.3</v>
      </c>
      <c r="Y2" s="3" t="n">
        <v>2</v>
      </c>
      <c r="Z2" s="3" t="s">
        <v>227</v>
      </c>
      <c r="AA2" s="3" t="n">
        <v>1.75</v>
      </c>
      <c r="AB2" s="3" t="n">
        <v>2160</v>
      </c>
      <c r="AC2" s="3" t="s">
        <v>228</v>
      </c>
    </row>
    <row r="3" customFormat="false" ht="15" hidden="false" customHeight="true" outlineLevel="0" collapsed="false">
      <c r="A3" s="3" t="s">
        <v>229</v>
      </c>
      <c r="B3" s="3" t="s">
        <v>222</v>
      </c>
      <c r="C3" s="3" t="n">
        <v>5</v>
      </c>
      <c r="D3" s="3" t="n">
        <v>4</v>
      </c>
      <c r="E3" s="3" t="n">
        <v>2.6</v>
      </c>
      <c r="F3" s="3" t="n">
        <f aca="false">C3*D3</f>
        <v>20</v>
      </c>
      <c r="G3" s="3" t="n">
        <f aca="false">C3*D3*E3</f>
        <v>52</v>
      </c>
      <c r="H3" s="3" t="s">
        <v>223</v>
      </c>
      <c r="I3" s="3" t="s">
        <v>122</v>
      </c>
      <c r="J3" s="3" t="s">
        <v>169</v>
      </c>
      <c r="K3" s="3" t="s">
        <v>90</v>
      </c>
      <c r="L3" s="3" t="s">
        <v>145</v>
      </c>
      <c r="M3" s="3" t="n">
        <v>150</v>
      </c>
      <c r="N3" s="3" t="n">
        <v>100</v>
      </c>
      <c r="O3" s="3" t="n">
        <v>100</v>
      </c>
      <c r="P3" s="3" t="n">
        <v>1.8</v>
      </c>
      <c r="Q3" s="3" t="n">
        <f aca="false">2*(C3+D3)*E3</f>
        <v>46.8</v>
      </c>
      <c r="R3" s="3" t="n">
        <f aca="false">Q3-P3</f>
        <v>45</v>
      </c>
      <c r="S3" s="3" t="n">
        <f aca="false">P3/Q3</f>
        <v>0.0384615384615385</v>
      </c>
      <c r="T3" s="3" t="s">
        <v>224</v>
      </c>
      <c r="U3" s="3" t="n">
        <v>2</v>
      </c>
      <c r="V3" s="3" t="s">
        <v>225</v>
      </c>
      <c r="W3" s="3" t="s">
        <v>226</v>
      </c>
      <c r="X3" s="3" t="n">
        <v>0.3</v>
      </c>
      <c r="Y3" s="3" t="n">
        <v>5</v>
      </c>
      <c r="Z3" s="3" t="s">
        <v>227</v>
      </c>
      <c r="AA3" s="3" t="n">
        <v>1.75</v>
      </c>
      <c r="AB3" s="3" t="n">
        <v>2160</v>
      </c>
      <c r="AC3" s="3" t="s">
        <v>228</v>
      </c>
    </row>
    <row r="4" customFormat="false" ht="15" hidden="false" customHeight="true" outlineLevel="0" collapsed="false">
      <c r="A4" s="3" t="s">
        <v>230</v>
      </c>
      <c r="B4" s="3" t="s">
        <v>222</v>
      </c>
      <c r="C4" s="3" t="n">
        <v>3</v>
      </c>
      <c r="D4" s="3" t="n">
        <v>3</v>
      </c>
      <c r="E4" s="3" t="n">
        <v>2.4</v>
      </c>
      <c r="F4" s="3" t="n">
        <f aca="false">C4*D4</f>
        <v>9</v>
      </c>
      <c r="G4" s="3" t="n">
        <f aca="false">C4*D4*E4</f>
        <v>21.6</v>
      </c>
      <c r="H4" s="3" t="s">
        <v>223</v>
      </c>
      <c r="I4" s="3" t="s">
        <v>122</v>
      </c>
      <c r="J4" s="3" t="s">
        <v>169</v>
      </c>
      <c r="K4" s="3" t="s">
        <v>90</v>
      </c>
      <c r="L4" s="3" t="s">
        <v>136</v>
      </c>
      <c r="M4" s="3" t="n">
        <v>150</v>
      </c>
      <c r="N4" s="3" t="n">
        <v>100</v>
      </c>
      <c r="O4" s="3" t="n">
        <v>150</v>
      </c>
      <c r="P4" s="3" t="n">
        <v>1.2</v>
      </c>
      <c r="Q4" s="3" t="n">
        <f aca="false">2*(C4+D4)*E4</f>
        <v>28.8</v>
      </c>
      <c r="R4" s="3" t="n">
        <f aca="false">Q4-P4</f>
        <v>27.6</v>
      </c>
      <c r="S4" s="3" t="n">
        <f aca="false">P4/Q4</f>
        <v>0.0416666666666667</v>
      </c>
      <c r="T4" s="3" t="s">
        <v>224</v>
      </c>
      <c r="U4" s="3" t="n">
        <v>2</v>
      </c>
      <c r="V4" s="3" t="s">
        <v>225</v>
      </c>
      <c r="W4" s="3" t="s">
        <v>226</v>
      </c>
      <c r="X4" s="3" t="n">
        <v>0.3</v>
      </c>
      <c r="Y4" s="3" t="n">
        <v>2</v>
      </c>
      <c r="Z4" s="3" t="s">
        <v>227</v>
      </c>
      <c r="AA4" s="3" t="n">
        <v>1.75</v>
      </c>
      <c r="AB4" s="3" t="n">
        <v>2160</v>
      </c>
      <c r="AC4" s="3" t="s">
        <v>228</v>
      </c>
    </row>
    <row r="5" customFormat="false" ht="15" hidden="false" customHeight="true" outlineLevel="0" collapsed="false">
      <c r="A5" s="3" t="s">
        <v>231</v>
      </c>
      <c r="B5" s="3" t="s">
        <v>222</v>
      </c>
      <c r="C5" s="3" t="n">
        <v>5</v>
      </c>
      <c r="D5" s="3" t="n">
        <v>4</v>
      </c>
      <c r="E5" s="3" t="n">
        <v>2.6</v>
      </c>
      <c r="F5" s="3" t="n">
        <f aca="false">C5*D5</f>
        <v>20</v>
      </c>
      <c r="G5" s="3" t="n">
        <f aca="false">C5*D5*E5</f>
        <v>52</v>
      </c>
      <c r="H5" s="3" t="s">
        <v>223</v>
      </c>
      <c r="I5" s="3" t="s">
        <v>122</v>
      </c>
      <c r="J5" s="3" t="s">
        <v>169</v>
      </c>
      <c r="K5" s="3" t="s">
        <v>90</v>
      </c>
      <c r="L5" s="3" t="s">
        <v>136</v>
      </c>
      <c r="M5" s="3" t="n">
        <v>150</v>
      </c>
      <c r="N5" s="3" t="n">
        <v>100</v>
      </c>
      <c r="O5" s="3" t="n">
        <v>150</v>
      </c>
      <c r="P5" s="3" t="n">
        <v>1.8</v>
      </c>
      <c r="Q5" s="3" t="n">
        <f aca="false">2*(C5+D5)*E5</f>
        <v>46.8</v>
      </c>
      <c r="R5" s="3" t="n">
        <f aca="false">Q5-P5</f>
        <v>45</v>
      </c>
      <c r="S5" s="3" t="n">
        <f aca="false">P5/Q5</f>
        <v>0.0384615384615385</v>
      </c>
      <c r="T5" s="3" t="s">
        <v>224</v>
      </c>
      <c r="U5" s="3" t="n">
        <v>2</v>
      </c>
      <c r="V5" s="3" t="s">
        <v>225</v>
      </c>
      <c r="W5" s="3" t="s">
        <v>226</v>
      </c>
      <c r="X5" s="3" t="n">
        <v>0.3</v>
      </c>
      <c r="Y5" s="3" t="n">
        <v>5</v>
      </c>
      <c r="Z5" s="3" t="s">
        <v>227</v>
      </c>
      <c r="AA5" s="3" t="n">
        <v>1.75</v>
      </c>
      <c r="AB5" s="3" t="n">
        <v>2160</v>
      </c>
      <c r="AC5" s="3" t="s">
        <v>228</v>
      </c>
    </row>
    <row r="6" customFormat="false" ht="15" hidden="false" customHeight="true" outlineLevel="0" collapsed="false">
      <c r="A6" s="3" t="s">
        <v>232</v>
      </c>
      <c r="B6" s="3" t="s">
        <v>222</v>
      </c>
      <c r="C6" s="3" t="n">
        <v>3</v>
      </c>
      <c r="D6" s="3" t="n">
        <v>3</v>
      </c>
      <c r="E6" s="3" t="n">
        <v>2.4</v>
      </c>
      <c r="F6" s="3" t="n">
        <f aca="false">C6*D6</f>
        <v>9</v>
      </c>
      <c r="G6" s="3" t="n">
        <f aca="false">C6*D6*E6</f>
        <v>21.6</v>
      </c>
      <c r="H6" s="3" t="s">
        <v>223</v>
      </c>
      <c r="I6" s="3" t="s">
        <v>165</v>
      </c>
      <c r="J6" s="3" t="s">
        <v>169</v>
      </c>
      <c r="K6" s="3" t="s">
        <v>90</v>
      </c>
      <c r="L6" s="3" t="s">
        <v>145</v>
      </c>
      <c r="M6" s="3" t="n">
        <v>250</v>
      </c>
      <c r="N6" s="3" t="n">
        <v>100</v>
      </c>
      <c r="O6" s="3" t="n">
        <v>100</v>
      </c>
      <c r="P6" s="3" t="n">
        <v>1.2</v>
      </c>
      <c r="Q6" s="3" t="n">
        <f aca="false">2*(C6+D6)*E6</f>
        <v>28.8</v>
      </c>
      <c r="R6" s="3" t="n">
        <f aca="false">Q6-P6</f>
        <v>27.6</v>
      </c>
      <c r="S6" s="3" t="n">
        <f aca="false">P6/Q6</f>
        <v>0.0416666666666667</v>
      </c>
      <c r="T6" s="3" t="s">
        <v>224</v>
      </c>
      <c r="U6" s="3" t="n">
        <v>2</v>
      </c>
      <c r="V6" s="3" t="s">
        <v>225</v>
      </c>
      <c r="W6" s="3" t="s">
        <v>226</v>
      </c>
      <c r="X6" s="3" t="n">
        <v>0.3</v>
      </c>
      <c r="Y6" s="3" t="n">
        <v>2</v>
      </c>
      <c r="Z6" s="3" t="s">
        <v>227</v>
      </c>
      <c r="AA6" s="3" t="n">
        <v>1.75</v>
      </c>
      <c r="AB6" s="3" t="n">
        <v>2160</v>
      </c>
      <c r="AC6" s="3" t="s">
        <v>228</v>
      </c>
    </row>
    <row r="7" customFormat="false" ht="15" hidden="false" customHeight="true" outlineLevel="0" collapsed="false">
      <c r="A7" s="3" t="s">
        <v>233</v>
      </c>
      <c r="B7" s="3" t="s">
        <v>222</v>
      </c>
      <c r="C7" s="3" t="n">
        <v>5</v>
      </c>
      <c r="D7" s="3" t="n">
        <v>4</v>
      </c>
      <c r="E7" s="3" t="n">
        <v>2.6</v>
      </c>
      <c r="F7" s="3" t="n">
        <f aca="false">C7*D7</f>
        <v>20</v>
      </c>
      <c r="G7" s="3" t="n">
        <f aca="false">C7*D7*E7</f>
        <v>52</v>
      </c>
      <c r="H7" s="3" t="s">
        <v>223</v>
      </c>
      <c r="I7" s="3" t="s">
        <v>165</v>
      </c>
      <c r="J7" s="3" t="s">
        <v>169</v>
      </c>
      <c r="K7" s="3" t="s">
        <v>90</v>
      </c>
      <c r="L7" s="3" t="s">
        <v>145</v>
      </c>
      <c r="M7" s="3" t="n">
        <v>250</v>
      </c>
      <c r="N7" s="3" t="n">
        <v>100</v>
      </c>
      <c r="O7" s="3" t="n">
        <v>100</v>
      </c>
      <c r="P7" s="3" t="n">
        <v>1.8</v>
      </c>
      <c r="Q7" s="3" t="n">
        <f aca="false">2*(C7+D7)*E7</f>
        <v>46.8</v>
      </c>
      <c r="R7" s="3" t="n">
        <f aca="false">Q7-P7</f>
        <v>45</v>
      </c>
      <c r="S7" s="3" t="n">
        <f aca="false">P7/Q7</f>
        <v>0.0384615384615385</v>
      </c>
      <c r="T7" s="3" t="s">
        <v>224</v>
      </c>
      <c r="U7" s="3" t="n">
        <v>2</v>
      </c>
      <c r="V7" s="3" t="s">
        <v>225</v>
      </c>
      <c r="W7" s="3" t="s">
        <v>226</v>
      </c>
      <c r="X7" s="3" t="n">
        <v>0.3</v>
      </c>
      <c r="Y7" s="3" t="n">
        <v>5</v>
      </c>
      <c r="Z7" s="3" t="s">
        <v>227</v>
      </c>
      <c r="AA7" s="3" t="n">
        <v>1.75</v>
      </c>
      <c r="AB7" s="3" t="n">
        <v>2160</v>
      </c>
      <c r="AC7" s="3" t="s">
        <v>228</v>
      </c>
    </row>
    <row r="8" customFormat="false" ht="15" hidden="false" customHeight="true" outlineLevel="0" collapsed="false">
      <c r="A8" s="3" t="s">
        <v>234</v>
      </c>
      <c r="B8" s="3" t="s">
        <v>222</v>
      </c>
      <c r="C8" s="3" t="n">
        <v>3</v>
      </c>
      <c r="D8" s="3" t="n">
        <v>3</v>
      </c>
      <c r="E8" s="3" t="n">
        <v>2.4</v>
      </c>
      <c r="F8" s="3" t="n">
        <f aca="false">C8*D8</f>
        <v>9</v>
      </c>
      <c r="G8" s="3" t="n">
        <f aca="false">C8*D8*E8</f>
        <v>21.6</v>
      </c>
      <c r="H8" s="3" t="s">
        <v>223</v>
      </c>
      <c r="I8" s="3" t="s">
        <v>165</v>
      </c>
      <c r="J8" s="3" t="s">
        <v>169</v>
      </c>
      <c r="K8" s="3" t="s">
        <v>90</v>
      </c>
      <c r="L8" s="3" t="s">
        <v>136</v>
      </c>
      <c r="M8" s="3" t="n">
        <v>250</v>
      </c>
      <c r="N8" s="3" t="n">
        <v>100</v>
      </c>
      <c r="O8" s="3" t="n">
        <v>150</v>
      </c>
      <c r="P8" s="3" t="n">
        <v>1.2</v>
      </c>
      <c r="Q8" s="3" t="n">
        <f aca="false">2*(C8+D8)*E8</f>
        <v>28.8</v>
      </c>
      <c r="R8" s="3" t="n">
        <f aca="false">Q8-P8</f>
        <v>27.6</v>
      </c>
      <c r="S8" s="3" t="n">
        <f aca="false">P8/Q8</f>
        <v>0.0416666666666667</v>
      </c>
      <c r="T8" s="3" t="s">
        <v>224</v>
      </c>
      <c r="U8" s="3" t="n">
        <v>2</v>
      </c>
      <c r="V8" s="3" t="s">
        <v>225</v>
      </c>
      <c r="W8" s="3" t="s">
        <v>226</v>
      </c>
      <c r="X8" s="3" t="n">
        <v>0.3</v>
      </c>
      <c r="Y8" s="3" t="n">
        <v>2</v>
      </c>
      <c r="Z8" s="3" t="s">
        <v>227</v>
      </c>
      <c r="AA8" s="3" t="n">
        <v>1.75</v>
      </c>
      <c r="AB8" s="3" t="n">
        <v>2160</v>
      </c>
      <c r="AC8" s="3" t="s">
        <v>228</v>
      </c>
    </row>
    <row r="9" customFormat="false" ht="15" hidden="false" customHeight="true" outlineLevel="0" collapsed="false">
      <c r="A9" s="3" t="s">
        <v>235</v>
      </c>
      <c r="B9" s="3" t="s">
        <v>222</v>
      </c>
      <c r="C9" s="3" t="n">
        <v>5</v>
      </c>
      <c r="D9" s="3" t="n">
        <v>4</v>
      </c>
      <c r="E9" s="3" t="n">
        <v>2.6</v>
      </c>
      <c r="F9" s="3" t="n">
        <f aca="false">C9*D9</f>
        <v>20</v>
      </c>
      <c r="G9" s="3" t="n">
        <f aca="false">C9*D9*E9</f>
        <v>52</v>
      </c>
      <c r="H9" s="3" t="s">
        <v>223</v>
      </c>
      <c r="I9" s="3" t="s">
        <v>165</v>
      </c>
      <c r="J9" s="3" t="s">
        <v>169</v>
      </c>
      <c r="K9" s="3" t="s">
        <v>90</v>
      </c>
      <c r="L9" s="3" t="s">
        <v>136</v>
      </c>
      <c r="M9" s="3" t="n">
        <v>250</v>
      </c>
      <c r="N9" s="3" t="n">
        <v>100</v>
      </c>
      <c r="O9" s="3" t="n">
        <v>150</v>
      </c>
      <c r="P9" s="3" t="n">
        <v>1.8</v>
      </c>
      <c r="Q9" s="3" t="n">
        <f aca="false">2*(C9+D9)*E9</f>
        <v>46.8</v>
      </c>
      <c r="R9" s="3" t="n">
        <f aca="false">Q9-P9</f>
        <v>45</v>
      </c>
      <c r="S9" s="3" t="n">
        <f aca="false">P9/Q9</f>
        <v>0.0384615384615385</v>
      </c>
      <c r="T9" s="3" t="s">
        <v>224</v>
      </c>
      <c r="U9" s="3" t="n">
        <v>2</v>
      </c>
      <c r="V9" s="3" t="s">
        <v>225</v>
      </c>
      <c r="W9" s="3" t="s">
        <v>226</v>
      </c>
      <c r="X9" s="3" t="n">
        <v>0.3</v>
      </c>
      <c r="Y9" s="3" t="n">
        <v>5</v>
      </c>
      <c r="Z9" s="3" t="s">
        <v>227</v>
      </c>
      <c r="AA9" s="3" t="n">
        <v>1.75</v>
      </c>
      <c r="AB9" s="3" t="n">
        <v>2160</v>
      </c>
      <c r="AC9" s="3" t="s">
        <v>228</v>
      </c>
    </row>
    <row r="10" customFormat="false" ht="15" hidden="false" customHeight="true" outlineLevel="0" collapsed="false">
      <c r="A10" s="3" t="s">
        <v>236</v>
      </c>
      <c r="B10" s="3" t="s">
        <v>237</v>
      </c>
      <c r="C10" s="3" t="n">
        <v>3</v>
      </c>
      <c r="D10" s="3" t="n">
        <v>3.5</v>
      </c>
      <c r="E10" s="3" t="n">
        <v>2.6</v>
      </c>
      <c r="F10" s="3" t="n">
        <f aca="false">C10*D10</f>
        <v>10.5</v>
      </c>
      <c r="G10" s="3" t="n">
        <f aca="false">C10*D10*E10</f>
        <v>27.3</v>
      </c>
      <c r="H10" s="3" t="s">
        <v>238</v>
      </c>
      <c r="I10" s="3" t="s">
        <v>102</v>
      </c>
      <c r="J10" s="3" t="s">
        <v>184</v>
      </c>
      <c r="K10" s="3" t="s">
        <v>102</v>
      </c>
      <c r="L10" s="3" t="s">
        <v>239</v>
      </c>
      <c r="M10" s="3" t="n">
        <v>230</v>
      </c>
      <c r="N10" s="3" t="n">
        <v>1</v>
      </c>
      <c r="O10" s="3" t="n">
        <v>0</v>
      </c>
      <c r="P10" s="3" t="n">
        <v>1</v>
      </c>
      <c r="Q10" s="3" t="n">
        <f aca="false">2*(C10+D10)*E10</f>
        <v>33.8</v>
      </c>
      <c r="R10" s="3" t="n">
        <f aca="false">Q10-P10</f>
        <v>32.8</v>
      </c>
      <c r="S10" s="3" t="n">
        <f aca="false">P10/Q10</f>
        <v>0.029585798816568</v>
      </c>
      <c r="T10" s="3" t="s">
        <v>240</v>
      </c>
      <c r="U10" s="3" t="n">
        <v>3</v>
      </c>
      <c r="V10" s="3" t="s">
        <v>241</v>
      </c>
      <c r="W10" s="3" t="s">
        <v>242</v>
      </c>
      <c r="X10" s="3" t="n">
        <v>0.65</v>
      </c>
      <c r="Y10" s="3" t="n">
        <v>2</v>
      </c>
      <c r="Z10" s="3" t="s">
        <v>243</v>
      </c>
      <c r="AA10" s="3" t="n">
        <v>0.5</v>
      </c>
      <c r="AB10" s="3" t="n">
        <v>2160</v>
      </c>
      <c r="AC10" s="3" t="s">
        <v>228</v>
      </c>
    </row>
    <row r="11" customFormat="false" ht="15" hidden="false" customHeight="true" outlineLevel="0" collapsed="false">
      <c r="A11" s="3" t="s">
        <v>244</v>
      </c>
      <c r="B11" s="3" t="s">
        <v>237</v>
      </c>
      <c r="C11" s="3" t="n">
        <v>5</v>
      </c>
      <c r="D11" s="3" t="n">
        <v>4.5</v>
      </c>
      <c r="E11" s="3" t="n">
        <v>2.8</v>
      </c>
      <c r="F11" s="3" t="n">
        <f aca="false">C11*D11</f>
        <v>22.5</v>
      </c>
      <c r="G11" s="3" t="n">
        <f aca="false">C11*D11*E11</f>
        <v>63</v>
      </c>
      <c r="H11" s="3" t="s">
        <v>238</v>
      </c>
      <c r="I11" s="3" t="s">
        <v>102</v>
      </c>
      <c r="J11" s="3" t="s">
        <v>184</v>
      </c>
      <c r="K11" s="3" t="s">
        <v>102</v>
      </c>
      <c r="L11" s="3" t="s">
        <v>239</v>
      </c>
      <c r="M11" s="3" t="n">
        <v>230</v>
      </c>
      <c r="N11" s="3" t="n">
        <v>1</v>
      </c>
      <c r="O11" s="3" t="n">
        <v>0</v>
      </c>
      <c r="P11" s="3" t="n">
        <v>1.6</v>
      </c>
      <c r="Q11" s="3" t="n">
        <f aca="false">2*(C11+D11)*E11</f>
        <v>53.2</v>
      </c>
      <c r="R11" s="3" t="n">
        <f aca="false">Q11-P11</f>
        <v>51.6</v>
      </c>
      <c r="S11" s="3" t="n">
        <f aca="false">P11/Q11</f>
        <v>0.0300751879699248</v>
      </c>
      <c r="T11" s="3" t="s">
        <v>240</v>
      </c>
      <c r="U11" s="3" t="n">
        <v>3</v>
      </c>
      <c r="V11" s="3" t="s">
        <v>241</v>
      </c>
      <c r="W11" s="3" t="s">
        <v>242</v>
      </c>
      <c r="X11" s="3" t="n">
        <v>0.65</v>
      </c>
      <c r="Y11" s="3" t="n">
        <v>5</v>
      </c>
      <c r="Z11" s="3" t="s">
        <v>243</v>
      </c>
      <c r="AA11" s="3" t="n">
        <v>0.5</v>
      </c>
      <c r="AB11" s="3" t="n">
        <v>2160</v>
      </c>
      <c r="AC11" s="3" t="s">
        <v>228</v>
      </c>
    </row>
    <row r="12" customFormat="false" ht="15" hidden="false" customHeight="true" outlineLevel="0" collapsed="false">
      <c r="A12" s="3" t="s">
        <v>245</v>
      </c>
      <c r="B12" s="3" t="s">
        <v>237</v>
      </c>
      <c r="C12" s="3" t="n">
        <v>3</v>
      </c>
      <c r="D12" s="3" t="n">
        <v>3.5</v>
      </c>
      <c r="E12" s="3" t="n">
        <v>2.6</v>
      </c>
      <c r="F12" s="3" t="n">
        <f aca="false">C12*D12</f>
        <v>10.5</v>
      </c>
      <c r="G12" s="3" t="n">
        <f aca="false">C12*D12*E12</f>
        <v>27.3</v>
      </c>
      <c r="H12" s="3" t="s">
        <v>238</v>
      </c>
      <c r="I12" s="3" t="s">
        <v>102</v>
      </c>
      <c r="J12" s="3" t="s">
        <v>184</v>
      </c>
      <c r="K12" s="3" t="s">
        <v>102</v>
      </c>
      <c r="L12" s="3" t="s">
        <v>132</v>
      </c>
      <c r="M12" s="3" t="n">
        <v>230</v>
      </c>
      <c r="N12" s="3" t="n">
        <v>1</v>
      </c>
      <c r="O12" s="3" t="n">
        <v>30</v>
      </c>
      <c r="P12" s="3" t="n">
        <v>1</v>
      </c>
      <c r="Q12" s="3" t="n">
        <f aca="false">2*(C12+D12)*E12</f>
        <v>33.8</v>
      </c>
      <c r="R12" s="3" t="n">
        <f aca="false">Q12-P12</f>
        <v>32.8</v>
      </c>
      <c r="S12" s="3" t="n">
        <f aca="false">P12/Q12</f>
        <v>0.029585798816568</v>
      </c>
      <c r="T12" s="3" t="s">
        <v>240</v>
      </c>
      <c r="U12" s="3" t="n">
        <v>3</v>
      </c>
      <c r="V12" s="3" t="s">
        <v>241</v>
      </c>
      <c r="W12" s="3" t="s">
        <v>242</v>
      </c>
      <c r="X12" s="3" t="n">
        <v>0.65</v>
      </c>
      <c r="Y12" s="3" t="n">
        <v>2</v>
      </c>
      <c r="Z12" s="3" t="s">
        <v>243</v>
      </c>
      <c r="AA12" s="3" t="n">
        <v>0.5</v>
      </c>
      <c r="AB12" s="3" t="n">
        <v>2160</v>
      </c>
      <c r="AC12" s="3" t="s">
        <v>228</v>
      </c>
    </row>
    <row r="13" customFormat="false" ht="15" hidden="false" customHeight="true" outlineLevel="0" collapsed="false">
      <c r="A13" s="3" t="s">
        <v>246</v>
      </c>
      <c r="B13" s="3" t="s">
        <v>237</v>
      </c>
      <c r="C13" s="3" t="n">
        <v>5</v>
      </c>
      <c r="D13" s="3" t="n">
        <v>4.5</v>
      </c>
      <c r="E13" s="3" t="n">
        <v>2.8</v>
      </c>
      <c r="F13" s="3" t="n">
        <f aca="false">C13*D13</f>
        <v>22.5</v>
      </c>
      <c r="G13" s="3" t="n">
        <f aca="false">C13*D13*E13</f>
        <v>63</v>
      </c>
      <c r="H13" s="3" t="s">
        <v>238</v>
      </c>
      <c r="I13" s="3" t="s">
        <v>102</v>
      </c>
      <c r="J13" s="3" t="s">
        <v>184</v>
      </c>
      <c r="K13" s="3" t="s">
        <v>102</v>
      </c>
      <c r="L13" s="3" t="s">
        <v>132</v>
      </c>
      <c r="M13" s="3" t="n">
        <v>230</v>
      </c>
      <c r="N13" s="3" t="n">
        <v>1</v>
      </c>
      <c r="O13" s="3" t="n">
        <v>30</v>
      </c>
      <c r="P13" s="3" t="n">
        <v>1.6</v>
      </c>
      <c r="Q13" s="3" t="n">
        <f aca="false">2*(C13+D13)*E13</f>
        <v>53.2</v>
      </c>
      <c r="R13" s="3" t="n">
        <f aca="false">Q13-P13</f>
        <v>51.6</v>
      </c>
      <c r="S13" s="3" t="n">
        <f aca="false">P13/Q13</f>
        <v>0.0300751879699248</v>
      </c>
      <c r="T13" s="3" t="s">
        <v>240</v>
      </c>
      <c r="U13" s="3" t="n">
        <v>3</v>
      </c>
      <c r="V13" s="3" t="s">
        <v>241</v>
      </c>
      <c r="W13" s="3" t="s">
        <v>242</v>
      </c>
      <c r="X13" s="3" t="n">
        <v>0.65</v>
      </c>
      <c r="Y13" s="3" t="n">
        <v>5</v>
      </c>
      <c r="Z13" s="3" t="s">
        <v>243</v>
      </c>
      <c r="AA13" s="3" t="n">
        <v>0.5</v>
      </c>
      <c r="AB13" s="3" t="n">
        <v>2160</v>
      </c>
      <c r="AC13" s="3" t="s">
        <v>228</v>
      </c>
    </row>
    <row r="14" customFormat="false" ht="15" hidden="false" customHeight="true" outlineLevel="0" collapsed="false">
      <c r="A14" s="3" t="s">
        <v>247</v>
      </c>
      <c r="B14" s="3" t="s">
        <v>237</v>
      </c>
      <c r="C14" s="3" t="n">
        <v>3</v>
      </c>
      <c r="D14" s="3" t="n">
        <v>3.5</v>
      </c>
      <c r="E14" s="3" t="n">
        <v>2.6</v>
      </c>
      <c r="F14" s="3" t="n">
        <f aca="false">C14*D14</f>
        <v>10.5</v>
      </c>
      <c r="G14" s="3" t="n">
        <f aca="false">C14*D14*E14</f>
        <v>27.3</v>
      </c>
      <c r="H14" s="3" t="s">
        <v>238</v>
      </c>
      <c r="I14" s="3" t="s">
        <v>159</v>
      </c>
      <c r="J14" s="3" t="s">
        <v>184</v>
      </c>
      <c r="K14" s="3" t="s">
        <v>102</v>
      </c>
      <c r="L14" s="3" t="s">
        <v>239</v>
      </c>
      <c r="M14" s="3" t="n">
        <v>300</v>
      </c>
      <c r="N14" s="3" t="n">
        <v>1</v>
      </c>
      <c r="O14" s="3" t="n">
        <v>0</v>
      </c>
      <c r="P14" s="3" t="n">
        <v>1</v>
      </c>
      <c r="Q14" s="3" t="n">
        <f aca="false">2*(C14+D14)*E14</f>
        <v>33.8</v>
      </c>
      <c r="R14" s="3" t="n">
        <f aca="false">Q14-P14</f>
        <v>32.8</v>
      </c>
      <c r="S14" s="3" t="n">
        <f aca="false">P14/Q14</f>
        <v>0.029585798816568</v>
      </c>
      <c r="T14" s="3" t="s">
        <v>240</v>
      </c>
      <c r="U14" s="3" t="n">
        <v>3</v>
      </c>
      <c r="V14" s="3" t="s">
        <v>241</v>
      </c>
      <c r="W14" s="3" t="s">
        <v>242</v>
      </c>
      <c r="X14" s="3" t="n">
        <v>0.65</v>
      </c>
      <c r="Y14" s="3" t="n">
        <v>2</v>
      </c>
      <c r="Z14" s="3" t="s">
        <v>243</v>
      </c>
      <c r="AA14" s="3" t="n">
        <v>0.5</v>
      </c>
      <c r="AB14" s="3" t="n">
        <v>2160</v>
      </c>
      <c r="AC14" s="3" t="s">
        <v>228</v>
      </c>
    </row>
    <row r="15" customFormat="false" ht="15" hidden="false" customHeight="true" outlineLevel="0" collapsed="false">
      <c r="A15" s="3" t="s">
        <v>248</v>
      </c>
      <c r="B15" s="3" t="s">
        <v>237</v>
      </c>
      <c r="C15" s="3" t="n">
        <v>5</v>
      </c>
      <c r="D15" s="3" t="n">
        <v>4.5</v>
      </c>
      <c r="E15" s="3" t="n">
        <v>2.8</v>
      </c>
      <c r="F15" s="3" t="n">
        <f aca="false">C15*D15</f>
        <v>22.5</v>
      </c>
      <c r="G15" s="3" t="n">
        <f aca="false">C15*D15*E15</f>
        <v>63</v>
      </c>
      <c r="H15" s="3" t="s">
        <v>238</v>
      </c>
      <c r="I15" s="3" t="s">
        <v>159</v>
      </c>
      <c r="J15" s="3" t="s">
        <v>184</v>
      </c>
      <c r="K15" s="3" t="s">
        <v>102</v>
      </c>
      <c r="L15" s="3" t="s">
        <v>239</v>
      </c>
      <c r="M15" s="3" t="n">
        <v>300</v>
      </c>
      <c r="N15" s="3" t="n">
        <v>1</v>
      </c>
      <c r="O15" s="3" t="n">
        <v>0</v>
      </c>
      <c r="P15" s="3" t="n">
        <v>1.6</v>
      </c>
      <c r="Q15" s="3" t="n">
        <f aca="false">2*(C15+D15)*E15</f>
        <v>53.2</v>
      </c>
      <c r="R15" s="3" t="n">
        <f aca="false">Q15-P15</f>
        <v>51.6</v>
      </c>
      <c r="S15" s="3" t="n">
        <f aca="false">P15/Q15</f>
        <v>0.0300751879699248</v>
      </c>
      <c r="T15" s="3" t="s">
        <v>240</v>
      </c>
      <c r="U15" s="3" t="n">
        <v>3</v>
      </c>
      <c r="V15" s="3" t="s">
        <v>241</v>
      </c>
      <c r="W15" s="3" t="s">
        <v>242</v>
      </c>
      <c r="X15" s="3" t="n">
        <v>0.65</v>
      </c>
      <c r="Y15" s="3" t="n">
        <v>5</v>
      </c>
      <c r="Z15" s="3" t="s">
        <v>243</v>
      </c>
      <c r="AA15" s="3" t="n">
        <v>0.5</v>
      </c>
      <c r="AB15" s="3" t="n">
        <v>2160</v>
      </c>
      <c r="AC15" s="3" t="s">
        <v>228</v>
      </c>
    </row>
    <row r="16" customFormat="false" ht="15" hidden="false" customHeight="true" outlineLevel="0" collapsed="false">
      <c r="A16" s="3" t="s">
        <v>249</v>
      </c>
      <c r="B16" s="3" t="s">
        <v>237</v>
      </c>
      <c r="C16" s="3" t="n">
        <v>3</v>
      </c>
      <c r="D16" s="3" t="n">
        <v>3.5</v>
      </c>
      <c r="E16" s="3" t="n">
        <v>2.6</v>
      </c>
      <c r="F16" s="3" t="n">
        <f aca="false">C16*D16</f>
        <v>10.5</v>
      </c>
      <c r="G16" s="3" t="n">
        <f aca="false">C16*D16*E16</f>
        <v>27.3</v>
      </c>
      <c r="H16" s="3" t="s">
        <v>238</v>
      </c>
      <c r="I16" s="3" t="s">
        <v>159</v>
      </c>
      <c r="J16" s="3" t="s">
        <v>184</v>
      </c>
      <c r="K16" s="3" t="s">
        <v>102</v>
      </c>
      <c r="L16" s="3" t="s">
        <v>132</v>
      </c>
      <c r="M16" s="3" t="n">
        <v>300</v>
      </c>
      <c r="N16" s="3" t="n">
        <v>1</v>
      </c>
      <c r="O16" s="3" t="n">
        <v>30</v>
      </c>
      <c r="P16" s="3" t="n">
        <v>1</v>
      </c>
      <c r="Q16" s="3" t="n">
        <f aca="false">2*(C16+D16)*E16</f>
        <v>33.8</v>
      </c>
      <c r="R16" s="3" t="n">
        <f aca="false">Q16-P16</f>
        <v>32.8</v>
      </c>
      <c r="S16" s="3" t="n">
        <f aca="false">P16/Q16</f>
        <v>0.029585798816568</v>
      </c>
      <c r="T16" s="3" t="s">
        <v>240</v>
      </c>
      <c r="U16" s="3" t="n">
        <v>3</v>
      </c>
      <c r="V16" s="3" t="s">
        <v>241</v>
      </c>
      <c r="W16" s="3" t="s">
        <v>242</v>
      </c>
      <c r="X16" s="3" t="n">
        <v>0.65</v>
      </c>
      <c r="Y16" s="3" t="n">
        <v>2</v>
      </c>
      <c r="Z16" s="3" t="s">
        <v>243</v>
      </c>
      <c r="AA16" s="3" t="n">
        <v>0.5</v>
      </c>
      <c r="AB16" s="3" t="n">
        <v>2160</v>
      </c>
      <c r="AC16" s="3" t="s">
        <v>228</v>
      </c>
    </row>
    <row r="17" customFormat="false" ht="15" hidden="false" customHeight="true" outlineLevel="0" collapsed="false">
      <c r="A17" s="3" t="s">
        <v>250</v>
      </c>
      <c r="B17" s="3" t="s">
        <v>237</v>
      </c>
      <c r="C17" s="3" t="n">
        <v>5</v>
      </c>
      <c r="D17" s="3" t="n">
        <v>4.5</v>
      </c>
      <c r="E17" s="3" t="n">
        <v>2.8</v>
      </c>
      <c r="F17" s="3" t="n">
        <f aca="false">C17*D17</f>
        <v>22.5</v>
      </c>
      <c r="G17" s="3" t="n">
        <f aca="false">C17*D17*E17</f>
        <v>63</v>
      </c>
      <c r="H17" s="3" t="s">
        <v>238</v>
      </c>
      <c r="I17" s="3" t="s">
        <v>159</v>
      </c>
      <c r="J17" s="3" t="s">
        <v>184</v>
      </c>
      <c r="K17" s="3" t="s">
        <v>102</v>
      </c>
      <c r="L17" s="3" t="s">
        <v>132</v>
      </c>
      <c r="M17" s="3" t="n">
        <v>300</v>
      </c>
      <c r="N17" s="3" t="n">
        <v>1</v>
      </c>
      <c r="O17" s="3" t="n">
        <v>30</v>
      </c>
      <c r="P17" s="3" t="n">
        <v>1.6</v>
      </c>
      <c r="Q17" s="3" t="n">
        <f aca="false">2*(C17+D17)*E17</f>
        <v>53.2</v>
      </c>
      <c r="R17" s="3" t="n">
        <f aca="false">Q17-P17</f>
        <v>51.6</v>
      </c>
      <c r="S17" s="3" t="n">
        <f aca="false">P17/Q17</f>
        <v>0.0300751879699248</v>
      </c>
      <c r="T17" s="3" t="s">
        <v>240</v>
      </c>
      <c r="U17" s="3" t="n">
        <v>3</v>
      </c>
      <c r="V17" s="3" t="s">
        <v>241</v>
      </c>
      <c r="W17" s="3" t="s">
        <v>242</v>
      </c>
      <c r="X17" s="3" t="n">
        <v>0.65</v>
      </c>
      <c r="Y17" s="3" t="n">
        <v>5</v>
      </c>
      <c r="Z17" s="3" t="s">
        <v>243</v>
      </c>
      <c r="AA17" s="3" t="n">
        <v>0.5</v>
      </c>
      <c r="AB17" s="3" t="n">
        <v>2160</v>
      </c>
      <c r="AC17" s="3" t="s">
        <v>228</v>
      </c>
    </row>
    <row r="18" customFormat="false" ht="15" hidden="false" customHeight="true" outlineLevel="0" collapsed="false">
      <c r="A18" s="3" t="s">
        <v>251</v>
      </c>
      <c r="B18" s="3" t="s">
        <v>252</v>
      </c>
      <c r="C18" s="3" t="n">
        <v>3.5</v>
      </c>
      <c r="D18" s="3" t="n">
        <v>3</v>
      </c>
      <c r="E18" s="3" t="n">
        <v>2.8</v>
      </c>
      <c r="F18" s="3" t="n">
        <f aca="false">C18*D18</f>
        <v>10.5</v>
      </c>
      <c r="G18" s="3" t="n">
        <f aca="false">C18*D18*E18</f>
        <v>29.4</v>
      </c>
      <c r="H18" s="3" t="s">
        <v>253</v>
      </c>
      <c r="I18" s="3" t="s">
        <v>102</v>
      </c>
      <c r="J18" s="3" t="s">
        <v>184</v>
      </c>
      <c r="K18" s="3" t="s">
        <v>102</v>
      </c>
      <c r="L18" s="3" t="s">
        <v>239</v>
      </c>
      <c r="M18" s="3" t="n">
        <v>150</v>
      </c>
      <c r="N18" s="3" t="n">
        <v>1</v>
      </c>
      <c r="O18" s="3" t="n">
        <v>0</v>
      </c>
      <c r="P18" s="3" t="n">
        <v>1.75</v>
      </c>
      <c r="Q18" s="3" t="n">
        <f aca="false">2*(C18+D18)*E18</f>
        <v>36.4</v>
      </c>
      <c r="R18" s="3" t="n">
        <f aca="false">Q18-P18</f>
        <v>34.65</v>
      </c>
      <c r="S18" s="3" t="n">
        <f aca="false">P18/Q18</f>
        <v>0.0480769230769231</v>
      </c>
      <c r="T18" s="3" t="s">
        <v>254</v>
      </c>
      <c r="U18" s="3" t="n">
        <v>4</v>
      </c>
      <c r="V18" s="3" t="s">
        <v>255</v>
      </c>
      <c r="W18" s="3" t="s">
        <v>256</v>
      </c>
      <c r="X18" s="3" t="n">
        <v>0.6</v>
      </c>
      <c r="Y18" s="3" t="n">
        <v>2</v>
      </c>
      <c r="Z18" s="3" t="s">
        <v>243</v>
      </c>
      <c r="AA18" s="3" t="n">
        <v>0.5</v>
      </c>
      <c r="AB18" s="3" t="n">
        <v>2160</v>
      </c>
      <c r="AC18" s="3" t="s">
        <v>228</v>
      </c>
    </row>
    <row r="19" customFormat="false" ht="15" hidden="false" customHeight="true" outlineLevel="0" collapsed="false">
      <c r="A19" s="3" t="s">
        <v>257</v>
      </c>
      <c r="B19" s="3" t="s">
        <v>252</v>
      </c>
      <c r="C19" s="3" t="n">
        <v>5</v>
      </c>
      <c r="D19" s="3" t="n">
        <v>4</v>
      </c>
      <c r="E19" s="3" t="n">
        <v>3</v>
      </c>
      <c r="F19" s="3" t="n">
        <f aca="false">C19*D19</f>
        <v>20</v>
      </c>
      <c r="G19" s="3" t="n">
        <f aca="false">C19*D19*E19</f>
        <v>60</v>
      </c>
      <c r="H19" s="3" t="s">
        <v>253</v>
      </c>
      <c r="I19" s="3" t="s">
        <v>102</v>
      </c>
      <c r="J19" s="3" t="s">
        <v>184</v>
      </c>
      <c r="K19" s="3" t="s">
        <v>102</v>
      </c>
      <c r="L19" s="3" t="s">
        <v>239</v>
      </c>
      <c r="M19" s="3" t="n">
        <v>150</v>
      </c>
      <c r="N19" s="3" t="n">
        <v>1</v>
      </c>
      <c r="O19" s="3" t="n">
        <v>0</v>
      </c>
      <c r="P19" s="3" t="n">
        <v>2.5</v>
      </c>
      <c r="Q19" s="3" t="n">
        <f aca="false">2*(C19+D19)*E19</f>
        <v>54</v>
      </c>
      <c r="R19" s="3" t="n">
        <f aca="false">Q19-P19</f>
        <v>51.5</v>
      </c>
      <c r="S19" s="3" t="n">
        <f aca="false">P19/Q19</f>
        <v>0.0462962962962963</v>
      </c>
      <c r="T19" s="3" t="s">
        <v>254</v>
      </c>
      <c r="U19" s="3" t="n">
        <v>4</v>
      </c>
      <c r="V19" s="3" t="s">
        <v>255</v>
      </c>
      <c r="W19" s="3" t="s">
        <v>256</v>
      </c>
      <c r="X19" s="3" t="n">
        <v>0.6</v>
      </c>
      <c r="Y19" s="3" t="n">
        <v>5</v>
      </c>
      <c r="Z19" s="3" t="s">
        <v>243</v>
      </c>
      <c r="AA19" s="3" t="n">
        <v>0.5</v>
      </c>
      <c r="AB19" s="3" t="n">
        <v>2160</v>
      </c>
      <c r="AC19" s="3" t="s">
        <v>228</v>
      </c>
    </row>
    <row r="20" customFormat="false" ht="15" hidden="false" customHeight="true" outlineLevel="0" collapsed="false">
      <c r="A20" s="3" t="s">
        <v>258</v>
      </c>
      <c r="B20" s="3" t="s">
        <v>252</v>
      </c>
      <c r="C20" s="3" t="n">
        <v>3.5</v>
      </c>
      <c r="D20" s="3" t="n">
        <v>3</v>
      </c>
      <c r="E20" s="3" t="n">
        <v>2.8</v>
      </c>
      <c r="F20" s="3" t="n">
        <f aca="false">C20*D20</f>
        <v>10.5</v>
      </c>
      <c r="G20" s="3" t="n">
        <f aca="false">C20*D20*E20</f>
        <v>29.4</v>
      </c>
      <c r="H20" s="3" t="s">
        <v>253</v>
      </c>
      <c r="I20" s="3" t="s">
        <v>102</v>
      </c>
      <c r="J20" s="3" t="s">
        <v>184</v>
      </c>
      <c r="K20" s="3" t="s">
        <v>102</v>
      </c>
      <c r="L20" s="3" t="s">
        <v>239</v>
      </c>
      <c r="M20" s="3" t="n">
        <v>150</v>
      </c>
      <c r="N20" s="3" t="n">
        <v>1</v>
      </c>
      <c r="O20" s="3" t="n">
        <v>0</v>
      </c>
      <c r="P20" s="3" t="n">
        <v>2.45</v>
      </c>
      <c r="Q20" s="3" t="n">
        <f aca="false">2*(C20+D20)*E20</f>
        <v>36.4</v>
      </c>
      <c r="R20" s="3" t="n">
        <f aca="false">Q20-P20</f>
        <v>33.95</v>
      </c>
      <c r="S20" s="3" t="n">
        <f aca="false">P20/Q20</f>
        <v>0.0673076923076923</v>
      </c>
      <c r="T20" s="3" t="s">
        <v>259</v>
      </c>
      <c r="U20" s="3" t="n">
        <v>4</v>
      </c>
      <c r="V20" s="3" t="s">
        <v>255</v>
      </c>
      <c r="W20" s="3" t="s">
        <v>256</v>
      </c>
      <c r="X20" s="3" t="n">
        <v>0.6</v>
      </c>
      <c r="Y20" s="3" t="n">
        <v>2</v>
      </c>
      <c r="Z20" s="3" t="s">
        <v>243</v>
      </c>
      <c r="AA20" s="3" t="n">
        <v>0.5</v>
      </c>
      <c r="AB20" s="3" t="n">
        <v>2160</v>
      </c>
      <c r="AC20" s="3" t="s">
        <v>228</v>
      </c>
    </row>
    <row r="21" customFormat="false" ht="15" hidden="false" customHeight="true" outlineLevel="0" collapsed="false">
      <c r="A21" s="3" t="s">
        <v>260</v>
      </c>
      <c r="B21" s="3" t="s">
        <v>252</v>
      </c>
      <c r="C21" s="3" t="n">
        <v>5</v>
      </c>
      <c r="D21" s="3" t="n">
        <v>4</v>
      </c>
      <c r="E21" s="3" t="n">
        <v>3</v>
      </c>
      <c r="F21" s="3" t="n">
        <f aca="false">C21*D21</f>
        <v>20</v>
      </c>
      <c r="G21" s="3" t="n">
        <f aca="false">C21*D21*E21</f>
        <v>60</v>
      </c>
      <c r="H21" s="3" t="s">
        <v>253</v>
      </c>
      <c r="I21" s="3" t="s">
        <v>102</v>
      </c>
      <c r="J21" s="3" t="s">
        <v>184</v>
      </c>
      <c r="K21" s="3" t="s">
        <v>102</v>
      </c>
      <c r="L21" s="3" t="s">
        <v>239</v>
      </c>
      <c r="M21" s="3" t="n">
        <v>150</v>
      </c>
      <c r="N21" s="3" t="n">
        <v>1</v>
      </c>
      <c r="O21" s="3" t="n">
        <v>0</v>
      </c>
      <c r="P21" s="3" t="n">
        <v>3.5</v>
      </c>
      <c r="Q21" s="3" t="n">
        <f aca="false">2*(C21+D21)*E21</f>
        <v>54</v>
      </c>
      <c r="R21" s="3" t="n">
        <f aca="false">Q21-P21</f>
        <v>50.5</v>
      </c>
      <c r="S21" s="3" t="n">
        <f aca="false">P21/Q21</f>
        <v>0.0648148148148148</v>
      </c>
      <c r="T21" s="3" t="s">
        <v>259</v>
      </c>
      <c r="U21" s="3" t="n">
        <v>4</v>
      </c>
      <c r="V21" s="3" t="s">
        <v>255</v>
      </c>
      <c r="W21" s="3" t="s">
        <v>256</v>
      </c>
      <c r="X21" s="3" t="n">
        <v>0.6</v>
      </c>
      <c r="Y21" s="3" t="n">
        <v>5</v>
      </c>
      <c r="Z21" s="3" t="s">
        <v>243</v>
      </c>
      <c r="AA21" s="3" t="n">
        <v>0.5</v>
      </c>
      <c r="AB21" s="3" t="n">
        <v>2160</v>
      </c>
      <c r="AC21" s="3" t="s">
        <v>228</v>
      </c>
    </row>
    <row r="22" customFormat="false" ht="15" hidden="false" customHeight="true" outlineLevel="0" collapsed="false">
      <c r="A22" s="3" t="s">
        <v>261</v>
      </c>
      <c r="B22" s="3" t="s">
        <v>252</v>
      </c>
      <c r="C22" s="3" t="n">
        <v>3.5</v>
      </c>
      <c r="D22" s="3" t="n">
        <v>3</v>
      </c>
      <c r="E22" s="3" t="n">
        <v>2.8</v>
      </c>
      <c r="F22" s="3" t="n">
        <f aca="false">C22*D22</f>
        <v>10.5</v>
      </c>
      <c r="G22" s="3" t="n">
        <f aca="false">C22*D22*E22</f>
        <v>29.4</v>
      </c>
      <c r="H22" s="3" t="s">
        <v>253</v>
      </c>
      <c r="I22" s="3" t="s">
        <v>122</v>
      </c>
      <c r="J22" s="3" t="s">
        <v>184</v>
      </c>
      <c r="K22" s="3" t="s">
        <v>122</v>
      </c>
      <c r="L22" s="3" t="s">
        <v>239</v>
      </c>
      <c r="M22" s="3" t="n">
        <v>150</v>
      </c>
      <c r="N22" s="3" t="n">
        <v>1</v>
      </c>
      <c r="O22" s="3" t="n">
        <v>0</v>
      </c>
      <c r="P22" s="3" t="n">
        <v>1.75</v>
      </c>
      <c r="Q22" s="3" t="n">
        <f aca="false">2*(C22+D22)*E22</f>
        <v>36.4</v>
      </c>
      <c r="R22" s="3" t="n">
        <f aca="false">Q22-P22</f>
        <v>34.65</v>
      </c>
      <c r="S22" s="3" t="n">
        <f aca="false">P22/Q22</f>
        <v>0.0480769230769231</v>
      </c>
      <c r="T22" s="3" t="s">
        <v>254</v>
      </c>
      <c r="U22" s="3" t="n">
        <v>4</v>
      </c>
      <c r="V22" s="3" t="s">
        <v>255</v>
      </c>
      <c r="W22" s="3" t="s">
        <v>256</v>
      </c>
      <c r="X22" s="3" t="n">
        <v>0.6</v>
      </c>
      <c r="Y22" s="3" t="n">
        <v>2</v>
      </c>
      <c r="Z22" s="3" t="s">
        <v>243</v>
      </c>
      <c r="AA22" s="3" t="n">
        <v>0.5</v>
      </c>
      <c r="AB22" s="3" t="n">
        <v>2160</v>
      </c>
      <c r="AC22" s="3" t="s">
        <v>228</v>
      </c>
    </row>
    <row r="23" customFormat="false" ht="15" hidden="false" customHeight="true" outlineLevel="0" collapsed="false">
      <c r="A23" s="3" t="s">
        <v>262</v>
      </c>
      <c r="B23" s="3" t="s">
        <v>252</v>
      </c>
      <c r="C23" s="3" t="n">
        <v>5</v>
      </c>
      <c r="D23" s="3" t="n">
        <v>4</v>
      </c>
      <c r="E23" s="3" t="n">
        <v>3</v>
      </c>
      <c r="F23" s="3" t="n">
        <f aca="false">C23*D23</f>
        <v>20</v>
      </c>
      <c r="G23" s="3" t="n">
        <f aca="false">C23*D23*E23</f>
        <v>60</v>
      </c>
      <c r="H23" s="3" t="s">
        <v>253</v>
      </c>
      <c r="I23" s="3" t="s">
        <v>122</v>
      </c>
      <c r="J23" s="3" t="s">
        <v>184</v>
      </c>
      <c r="K23" s="3" t="s">
        <v>122</v>
      </c>
      <c r="L23" s="3" t="s">
        <v>239</v>
      </c>
      <c r="M23" s="3" t="n">
        <v>150</v>
      </c>
      <c r="N23" s="3" t="n">
        <v>1</v>
      </c>
      <c r="O23" s="3" t="n">
        <v>0</v>
      </c>
      <c r="P23" s="3" t="n">
        <v>2.5</v>
      </c>
      <c r="Q23" s="3" t="n">
        <f aca="false">2*(C23+D23)*E23</f>
        <v>54</v>
      </c>
      <c r="R23" s="3" t="n">
        <f aca="false">Q23-P23</f>
        <v>51.5</v>
      </c>
      <c r="S23" s="3" t="n">
        <f aca="false">P23/Q23</f>
        <v>0.0462962962962963</v>
      </c>
      <c r="T23" s="3" t="s">
        <v>254</v>
      </c>
      <c r="U23" s="3" t="n">
        <v>4</v>
      </c>
      <c r="V23" s="3" t="s">
        <v>255</v>
      </c>
      <c r="W23" s="3" t="s">
        <v>256</v>
      </c>
      <c r="X23" s="3" t="n">
        <v>0.6</v>
      </c>
      <c r="Y23" s="3" t="n">
        <v>5</v>
      </c>
      <c r="Z23" s="3" t="s">
        <v>243</v>
      </c>
      <c r="AA23" s="3" t="n">
        <v>0.5</v>
      </c>
      <c r="AB23" s="3" t="n">
        <v>2160</v>
      </c>
      <c r="AC23" s="3" t="s">
        <v>228</v>
      </c>
    </row>
    <row r="24" customFormat="false" ht="15" hidden="false" customHeight="true" outlineLevel="0" collapsed="false">
      <c r="A24" s="3" t="s">
        <v>263</v>
      </c>
      <c r="B24" s="3" t="s">
        <v>252</v>
      </c>
      <c r="C24" s="3" t="n">
        <v>3.5</v>
      </c>
      <c r="D24" s="3" t="n">
        <v>3</v>
      </c>
      <c r="E24" s="3" t="n">
        <v>2.8</v>
      </c>
      <c r="F24" s="3" t="n">
        <f aca="false">C24*D24</f>
        <v>10.5</v>
      </c>
      <c r="G24" s="3" t="n">
        <f aca="false">C24*D24*E24</f>
        <v>29.4</v>
      </c>
      <c r="H24" s="3" t="s">
        <v>253</v>
      </c>
      <c r="I24" s="3" t="s">
        <v>122</v>
      </c>
      <c r="J24" s="3" t="s">
        <v>184</v>
      </c>
      <c r="K24" s="3" t="s">
        <v>122</v>
      </c>
      <c r="L24" s="3" t="s">
        <v>239</v>
      </c>
      <c r="M24" s="3" t="n">
        <v>150</v>
      </c>
      <c r="N24" s="3" t="n">
        <v>1</v>
      </c>
      <c r="O24" s="3" t="n">
        <v>0</v>
      </c>
      <c r="P24" s="3" t="n">
        <v>2.45</v>
      </c>
      <c r="Q24" s="3" t="n">
        <f aca="false">2*(C24+D24)*E24</f>
        <v>36.4</v>
      </c>
      <c r="R24" s="3" t="n">
        <f aca="false">Q24-P24</f>
        <v>33.95</v>
      </c>
      <c r="S24" s="3" t="n">
        <f aca="false">P24/Q24</f>
        <v>0.0673076923076923</v>
      </c>
      <c r="T24" s="3" t="s">
        <v>259</v>
      </c>
      <c r="U24" s="3" t="n">
        <v>4</v>
      </c>
      <c r="V24" s="3" t="s">
        <v>255</v>
      </c>
      <c r="W24" s="3" t="s">
        <v>256</v>
      </c>
      <c r="X24" s="3" t="n">
        <v>0.6</v>
      </c>
      <c r="Y24" s="3" t="n">
        <v>2</v>
      </c>
      <c r="Z24" s="3" t="s">
        <v>243</v>
      </c>
      <c r="AA24" s="3" t="n">
        <v>0.5</v>
      </c>
      <c r="AB24" s="3" t="n">
        <v>2160</v>
      </c>
      <c r="AC24" s="3" t="s">
        <v>228</v>
      </c>
    </row>
    <row r="25" customFormat="false" ht="15" hidden="false" customHeight="true" outlineLevel="0" collapsed="false">
      <c r="A25" s="3" t="s">
        <v>264</v>
      </c>
      <c r="B25" s="3" t="s">
        <v>252</v>
      </c>
      <c r="C25" s="3" t="n">
        <v>5</v>
      </c>
      <c r="D25" s="3" t="n">
        <v>4</v>
      </c>
      <c r="E25" s="3" t="n">
        <v>3</v>
      </c>
      <c r="F25" s="3" t="n">
        <f aca="false">C25*D25</f>
        <v>20</v>
      </c>
      <c r="G25" s="3" t="n">
        <f aca="false">C25*D25*E25</f>
        <v>60</v>
      </c>
      <c r="H25" s="3" t="s">
        <v>253</v>
      </c>
      <c r="I25" s="3" t="s">
        <v>122</v>
      </c>
      <c r="J25" s="3" t="s">
        <v>184</v>
      </c>
      <c r="K25" s="3" t="s">
        <v>122</v>
      </c>
      <c r="L25" s="3" t="s">
        <v>239</v>
      </c>
      <c r="M25" s="3" t="n">
        <v>150</v>
      </c>
      <c r="N25" s="3" t="n">
        <v>1</v>
      </c>
      <c r="O25" s="3" t="n">
        <v>0</v>
      </c>
      <c r="P25" s="3" t="n">
        <v>3.5</v>
      </c>
      <c r="Q25" s="3" t="n">
        <f aca="false">2*(C25+D25)*E25</f>
        <v>54</v>
      </c>
      <c r="R25" s="3" t="n">
        <f aca="false">Q25-P25</f>
        <v>50.5</v>
      </c>
      <c r="S25" s="3" t="n">
        <f aca="false">P25/Q25</f>
        <v>0.0648148148148148</v>
      </c>
      <c r="T25" s="3" t="s">
        <v>259</v>
      </c>
      <c r="U25" s="3" t="n">
        <v>4</v>
      </c>
      <c r="V25" s="3" t="s">
        <v>255</v>
      </c>
      <c r="W25" s="3" t="s">
        <v>256</v>
      </c>
      <c r="X25" s="3" t="n">
        <v>0.6</v>
      </c>
      <c r="Y25" s="3" t="n">
        <v>5</v>
      </c>
      <c r="Z25" s="3" t="s">
        <v>243</v>
      </c>
      <c r="AA25" s="3" t="n">
        <v>0.5</v>
      </c>
      <c r="AB25" s="3" t="n">
        <v>2160</v>
      </c>
      <c r="AC25" s="3" t="s">
        <v>228</v>
      </c>
    </row>
    <row r="26" customFormat="false" ht="15" hidden="false" customHeight="true" outlineLevel="0" collapsed="false">
      <c r="A26" s="3" t="s">
        <v>265</v>
      </c>
      <c r="B26" s="3" t="s">
        <v>266</v>
      </c>
      <c r="C26" s="3" t="n">
        <v>3.5</v>
      </c>
      <c r="D26" s="3" t="n">
        <v>3.5</v>
      </c>
      <c r="E26" s="3" t="n">
        <v>2.6</v>
      </c>
      <c r="F26" s="3" t="n">
        <f aca="false">C26*D26</f>
        <v>12.25</v>
      </c>
      <c r="G26" s="3" t="n">
        <f aca="false">C26*D26*E26</f>
        <v>31.85</v>
      </c>
      <c r="H26" s="3" t="s">
        <v>267</v>
      </c>
      <c r="I26" s="3" t="s">
        <v>102</v>
      </c>
      <c r="J26" s="3" t="s">
        <v>169</v>
      </c>
      <c r="K26" s="3" t="s">
        <v>90</v>
      </c>
      <c r="L26" s="3" t="s">
        <v>141</v>
      </c>
      <c r="M26" s="3" t="n">
        <v>230</v>
      </c>
      <c r="N26" s="3" t="n">
        <v>80</v>
      </c>
      <c r="O26" s="3" t="n">
        <v>50</v>
      </c>
      <c r="P26" s="3" t="n">
        <v>1.4</v>
      </c>
      <c r="Q26" s="3" t="n">
        <f aca="false">2*(C26+D26)*E26</f>
        <v>36.4</v>
      </c>
      <c r="R26" s="3" t="n">
        <f aca="false">Q26-P26</f>
        <v>35</v>
      </c>
      <c r="S26" s="3" t="n">
        <f aca="false">P26/Q26</f>
        <v>0.0384615384615385</v>
      </c>
      <c r="T26" s="3" t="s">
        <v>268</v>
      </c>
      <c r="U26" s="3" t="n">
        <v>3</v>
      </c>
      <c r="V26" s="3" t="s">
        <v>269</v>
      </c>
      <c r="W26" s="3" t="s">
        <v>270</v>
      </c>
      <c r="X26" s="3" t="n">
        <v>0.4</v>
      </c>
      <c r="Y26" s="3" t="n">
        <v>3</v>
      </c>
      <c r="Z26" s="3" t="s">
        <v>271</v>
      </c>
      <c r="AA26" s="3" t="n">
        <v>1</v>
      </c>
      <c r="AB26" s="3" t="n">
        <v>2160</v>
      </c>
      <c r="AC26" s="3" t="s">
        <v>228</v>
      </c>
    </row>
    <row r="27" customFormat="false" ht="15" hidden="false" customHeight="true" outlineLevel="0" collapsed="false">
      <c r="A27" s="3" t="s">
        <v>272</v>
      </c>
      <c r="B27" s="3" t="s">
        <v>266</v>
      </c>
      <c r="C27" s="3" t="n">
        <v>5</v>
      </c>
      <c r="D27" s="3" t="n">
        <v>4.5</v>
      </c>
      <c r="E27" s="3" t="n">
        <v>2.7</v>
      </c>
      <c r="F27" s="3" t="n">
        <f aca="false">C27*D27</f>
        <v>22.5</v>
      </c>
      <c r="G27" s="3" t="n">
        <f aca="false">C27*D27*E27</f>
        <v>60.75</v>
      </c>
      <c r="H27" s="3" t="s">
        <v>267</v>
      </c>
      <c r="I27" s="3" t="s">
        <v>102</v>
      </c>
      <c r="J27" s="3" t="s">
        <v>169</v>
      </c>
      <c r="K27" s="3" t="s">
        <v>90</v>
      </c>
      <c r="L27" s="3" t="s">
        <v>141</v>
      </c>
      <c r="M27" s="3" t="n">
        <v>230</v>
      </c>
      <c r="N27" s="3" t="n">
        <v>80</v>
      </c>
      <c r="O27" s="3" t="n">
        <v>50</v>
      </c>
      <c r="P27" s="3" t="n">
        <v>2</v>
      </c>
      <c r="Q27" s="3" t="n">
        <f aca="false">2*(C27+D27)*E27</f>
        <v>51.3</v>
      </c>
      <c r="R27" s="3" t="n">
        <f aca="false">Q27-P27</f>
        <v>49.3</v>
      </c>
      <c r="S27" s="3" t="n">
        <f aca="false">P27/Q27</f>
        <v>0.0389863547758285</v>
      </c>
      <c r="T27" s="3" t="s">
        <v>268</v>
      </c>
      <c r="U27" s="3" t="n">
        <v>3</v>
      </c>
      <c r="V27" s="3" t="s">
        <v>269</v>
      </c>
      <c r="W27" s="3" t="s">
        <v>270</v>
      </c>
      <c r="X27" s="3" t="n">
        <v>0.4</v>
      </c>
      <c r="Y27" s="3" t="n">
        <v>6</v>
      </c>
      <c r="Z27" s="3" t="s">
        <v>271</v>
      </c>
      <c r="AA27" s="3" t="n">
        <v>1</v>
      </c>
      <c r="AB27" s="3" t="n">
        <v>2160</v>
      </c>
      <c r="AC27" s="3" t="s">
        <v>228</v>
      </c>
    </row>
    <row r="28" customFormat="false" ht="15" hidden="false" customHeight="true" outlineLevel="0" collapsed="false">
      <c r="A28" s="3" t="s">
        <v>273</v>
      </c>
      <c r="B28" s="3" t="s">
        <v>266</v>
      </c>
      <c r="C28" s="3" t="n">
        <v>3.5</v>
      </c>
      <c r="D28" s="3" t="n">
        <v>3.5</v>
      </c>
      <c r="E28" s="3" t="n">
        <v>2.6</v>
      </c>
      <c r="F28" s="3" t="n">
        <f aca="false">C28*D28</f>
        <v>12.25</v>
      </c>
      <c r="G28" s="3" t="n">
        <f aca="false">C28*D28*E28</f>
        <v>31.85</v>
      </c>
      <c r="H28" s="3" t="s">
        <v>267</v>
      </c>
      <c r="I28" s="3" t="s">
        <v>102</v>
      </c>
      <c r="J28" s="3" t="s">
        <v>169</v>
      </c>
      <c r="K28" s="3" t="s">
        <v>90</v>
      </c>
      <c r="L28" s="3" t="s">
        <v>141</v>
      </c>
      <c r="M28" s="3" t="n">
        <v>230</v>
      </c>
      <c r="N28" s="3" t="n">
        <v>80</v>
      </c>
      <c r="O28" s="3" t="n">
        <v>100</v>
      </c>
      <c r="P28" s="3" t="n">
        <v>1.4</v>
      </c>
      <c r="Q28" s="3" t="n">
        <f aca="false">2*(C28+D28)*E28</f>
        <v>36.4</v>
      </c>
      <c r="R28" s="3" t="n">
        <f aca="false">Q28-P28</f>
        <v>35</v>
      </c>
      <c r="S28" s="3" t="n">
        <f aca="false">P28/Q28</f>
        <v>0.0384615384615385</v>
      </c>
      <c r="T28" s="3" t="s">
        <v>268</v>
      </c>
      <c r="U28" s="3" t="n">
        <v>3</v>
      </c>
      <c r="V28" s="3" t="s">
        <v>269</v>
      </c>
      <c r="W28" s="3" t="s">
        <v>270</v>
      </c>
      <c r="X28" s="3" t="n">
        <v>0.4</v>
      </c>
      <c r="Y28" s="3" t="n">
        <v>3</v>
      </c>
      <c r="Z28" s="3" t="s">
        <v>271</v>
      </c>
      <c r="AA28" s="3" t="n">
        <v>1</v>
      </c>
      <c r="AB28" s="3" t="n">
        <v>2160</v>
      </c>
      <c r="AC28" s="3" t="s">
        <v>228</v>
      </c>
    </row>
    <row r="29" customFormat="false" ht="15" hidden="false" customHeight="true" outlineLevel="0" collapsed="false">
      <c r="A29" s="3" t="s">
        <v>274</v>
      </c>
      <c r="B29" s="3" t="s">
        <v>266</v>
      </c>
      <c r="C29" s="3" t="n">
        <v>5</v>
      </c>
      <c r="D29" s="3" t="n">
        <v>4.5</v>
      </c>
      <c r="E29" s="3" t="n">
        <v>2.7</v>
      </c>
      <c r="F29" s="3" t="n">
        <f aca="false">C29*D29</f>
        <v>22.5</v>
      </c>
      <c r="G29" s="3" t="n">
        <f aca="false">C29*D29*E29</f>
        <v>60.75</v>
      </c>
      <c r="H29" s="3" t="s">
        <v>267</v>
      </c>
      <c r="I29" s="3" t="s">
        <v>102</v>
      </c>
      <c r="J29" s="3" t="s">
        <v>169</v>
      </c>
      <c r="K29" s="3" t="s">
        <v>90</v>
      </c>
      <c r="L29" s="3" t="s">
        <v>141</v>
      </c>
      <c r="M29" s="3" t="n">
        <v>230</v>
      </c>
      <c r="N29" s="3" t="n">
        <v>80</v>
      </c>
      <c r="O29" s="3" t="n">
        <v>100</v>
      </c>
      <c r="P29" s="3" t="n">
        <v>2</v>
      </c>
      <c r="Q29" s="3" t="n">
        <f aca="false">2*(C29+D29)*E29</f>
        <v>51.3</v>
      </c>
      <c r="R29" s="3" t="n">
        <f aca="false">Q29-P29</f>
        <v>49.3</v>
      </c>
      <c r="S29" s="3" t="n">
        <f aca="false">P29/Q29</f>
        <v>0.0389863547758285</v>
      </c>
      <c r="T29" s="3" t="s">
        <v>268</v>
      </c>
      <c r="U29" s="3" t="n">
        <v>3</v>
      </c>
      <c r="V29" s="3" t="s">
        <v>269</v>
      </c>
      <c r="W29" s="3" t="s">
        <v>270</v>
      </c>
      <c r="X29" s="3" t="n">
        <v>0.4</v>
      </c>
      <c r="Y29" s="3" t="n">
        <v>6</v>
      </c>
      <c r="Z29" s="3" t="s">
        <v>271</v>
      </c>
      <c r="AA29" s="3" t="n">
        <v>1</v>
      </c>
      <c r="AB29" s="3" t="n">
        <v>2160</v>
      </c>
      <c r="AC29" s="3" t="s">
        <v>228</v>
      </c>
    </row>
    <row r="30" customFormat="false" ht="15" hidden="false" customHeight="true" outlineLevel="0" collapsed="false">
      <c r="A30" s="3" t="s">
        <v>275</v>
      </c>
      <c r="B30" s="3" t="s">
        <v>266</v>
      </c>
      <c r="C30" s="3" t="n">
        <v>3.5</v>
      </c>
      <c r="D30" s="3" t="n">
        <v>3.5</v>
      </c>
      <c r="E30" s="3" t="n">
        <v>2.6</v>
      </c>
      <c r="F30" s="3" t="n">
        <f aca="false">C30*D30</f>
        <v>12.25</v>
      </c>
      <c r="G30" s="3" t="n">
        <f aca="false">C30*D30*E30</f>
        <v>31.85</v>
      </c>
      <c r="H30" s="3" t="s">
        <v>267</v>
      </c>
      <c r="I30" s="3" t="s">
        <v>122</v>
      </c>
      <c r="J30" s="3" t="s">
        <v>169</v>
      </c>
      <c r="K30" s="3" t="s">
        <v>90</v>
      </c>
      <c r="L30" s="3" t="s">
        <v>141</v>
      </c>
      <c r="M30" s="3" t="n">
        <v>150</v>
      </c>
      <c r="N30" s="3" t="n">
        <v>80</v>
      </c>
      <c r="O30" s="3" t="n">
        <v>50</v>
      </c>
      <c r="P30" s="3" t="n">
        <v>1.4</v>
      </c>
      <c r="Q30" s="3" t="n">
        <f aca="false">2*(C30+D30)*E30</f>
        <v>36.4</v>
      </c>
      <c r="R30" s="3" t="n">
        <f aca="false">Q30-P30</f>
        <v>35</v>
      </c>
      <c r="S30" s="3" t="n">
        <f aca="false">P30/Q30</f>
        <v>0.0384615384615385</v>
      </c>
      <c r="T30" s="3" t="s">
        <v>268</v>
      </c>
      <c r="U30" s="3" t="n">
        <v>3</v>
      </c>
      <c r="V30" s="3" t="s">
        <v>269</v>
      </c>
      <c r="W30" s="3" t="s">
        <v>270</v>
      </c>
      <c r="X30" s="3" t="n">
        <v>0.4</v>
      </c>
      <c r="Y30" s="3" t="n">
        <v>3</v>
      </c>
      <c r="Z30" s="3" t="s">
        <v>271</v>
      </c>
      <c r="AA30" s="3" t="n">
        <v>1</v>
      </c>
      <c r="AB30" s="3" t="n">
        <v>2160</v>
      </c>
      <c r="AC30" s="3" t="s">
        <v>228</v>
      </c>
    </row>
    <row r="31" customFormat="false" ht="15" hidden="false" customHeight="true" outlineLevel="0" collapsed="false">
      <c r="A31" s="3" t="s">
        <v>276</v>
      </c>
      <c r="B31" s="3" t="s">
        <v>266</v>
      </c>
      <c r="C31" s="3" t="n">
        <v>5</v>
      </c>
      <c r="D31" s="3" t="n">
        <v>4.5</v>
      </c>
      <c r="E31" s="3" t="n">
        <v>2.7</v>
      </c>
      <c r="F31" s="3" t="n">
        <f aca="false">C31*D31</f>
        <v>22.5</v>
      </c>
      <c r="G31" s="3" t="n">
        <f aca="false">C31*D31*E31</f>
        <v>60.75</v>
      </c>
      <c r="H31" s="3" t="s">
        <v>267</v>
      </c>
      <c r="I31" s="3" t="s">
        <v>122</v>
      </c>
      <c r="J31" s="3" t="s">
        <v>169</v>
      </c>
      <c r="K31" s="3" t="s">
        <v>90</v>
      </c>
      <c r="L31" s="3" t="s">
        <v>141</v>
      </c>
      <c r="M31" s="3" t="n">
        <v>150</v>
      </c>
      <c r="N31" s="3" t="n">
        <v>80</v>
      </c>
      <c r="O31" s="3" t="n">
        <v>50</v>
      </c>
      <c r="P31" s="3" t="n">
        <v>2</v>
      </c>
      <c r="Q31" s="3" t="n">
        <f aca="false">2*(C31+D31)*E31</f>
        <v>51.3</v>
      </c>
      <c r="R31" s="3" t="n">
        <f aca="false">Q31-P31</f>
        <v>49.3</v>
      </c>
      <c r="S31" s="3" t="n">
        <f aca="false">P31/Q31</f>
        <v>0.0389863547758285</v>
      </c>
      <c r="T31" s="3" t="s">
        <v>268</v>
      </c>
      <c r="U31" s="3" t="n">
        <v>3</v>
      </c>
      <c r="V31" s="3" t="s">
        <v>269</v>
      </c>
      <c r="W31" s="3" t="s">
        <v>270</v>
      </c>
      <c r="X31" s="3" t="n">
        <v>0.4</v>
      </c>
      <c r="Y31" s="3" t="n">
        <v>6</v>
      </c>
      <c r="Z31" s="3" t="s">
        <v>271</v>
      </c>
      <c r="AA31" s="3" t="n">
        <v>1</v>
      </c>
      <c r="AB31" s="3" t="n">
        <v>2160</v>
      </c>
      <c r="AC31" s="3" t="s">
        <v>228</v>
      </c>
    </row>
    <row r="32" customFormat="false" ht="15" hidden="false" customHeight="true" outlineLevel="0" collapsed="false">
      <c r="A32" s="3" t="s">
        <v>277</v>
      </c>
      <c r="B32" s="3" t="s">
        <v>266</v>
      </c>
      <c r="C32" s="3" t="n">
        <v>3.5</v>
      </c>
      <c r="D32" s="3" t="n">
        <v>3.5</v>
      </c>
      <c r="E32" s="3" t="n">
        <v>2.6</v>
      </c>
      <c r="F32" s="3" t="n">
        <f aca="false">C32*D32</f>
        <v>12.25</v>
      </c>
      <c r="G32" s="3" t="n">
        <f aca="false">C32*D32*E32</f>
        <v>31.85</v>
      </c>
      <c r="H32" s="3" t="s">
        <v>267</v>
      </c>
      <c r="I32" s="3" t="s">
        <v>122</v>
      </c>
      <c r="J32" s="3" t="s">
        <v>169</v>
      </c>
      <c r="K32" s="3" t="s">
        <v>90</v>
      </c>
      <c r="L32" s="3" t="s">
        <v>141</v>
      </c>
      <c r="M32" s="3" t="n">
        <v>150</v>
      </c>
      <c r="N32" s="3" t="n">
        <v>80</v>
      </c>
      <c r="O32" s="3" t="n">
        <v>100</v>
      </c>
      <c r="P32" s="3" t="n">
        <v>1.4</v>
      </c>
      <c r="Q32" s="3" t="n">
        <f aca="false">2*(C32+D32)*E32</f>
        <v>36.4</v>
      </c>
      <c r="R32" s="3" t="n">
        <f aca="false">Q32-P32</f>
        <v>35</v>
      </c>
      <c r="S32" s="3" t="n">
        <f aca="false">P32/Q32</f>
        <v>0.0384615384615385</v>
      </c>
      <c r="T32" s="3" t="s">
        <v>268</v>
      </c>
      <c r="U32" s="3" t="n">
        <v>3</v>
      </c>
      <c r="V32" s="3" t="s">
        <v>269</v>
      </c>
      <c r="W32" s="3" t="s">
        <v>270</v>
      </c>
      <c r="X32" s="3" t="n">
        <v>0.4</v>
      </c>
      <c r="Y32" s="3" t="n">
        <v>3</v>
      </c>
      <c r="Z32" s="3" t="s">
        <v>271</v>
      </c>
      <c r="AA32" s="3" t="n">
        <v>1</v>
      </c>
      <c r="AB32" s="3" t="n">
        <v>2160</v>
      </c>
      <c r="AC32" s="3" t="s">
        <v>228</v>
      </c>
    </row>
    <row r="33" customFormat="false" ht="15" hidden="false" customHeight="true" outlineLevel="0" collapsed="false">
      <c r="A33" s="3" t="s">
        <v>278</v>
      </c>
      <c r="B33" s="3" t="s">
        <v>266</v>
      </c>
      <c r="C33" s="3" t="n">
        <v>5</v>
      </c>
      <c r="D33" s="3" t="n">
        <v>4.5</v>
      </c>
      <c r="E33" s="3" t="n">
        <v>2.7</v>
      </c>
      <c r="F33" s="3" t="n">
        <f aca="false">C33*D33</f>
        <v>22.5</v>
      </c>
      <c r="G33" s="3" t="n">
        <f aca="false">C33*D33*E33</f>
        <v>60.75</v>
      </c>
      <c r="H33" s="3" t="s">
        <v>267</v>
      </c>
      <c r="I33" s="3" t="s">
        <v>122</v>
      </c>
      <c r="J33" s="3" t="s">
        <v>169</v>
      </c>
      <c r="K33" s="3" t="s">
        <v>90</v>
      </c>
      <c r="L33" s="3" t="s">
        <v>141</v>
      </c>
      <c r="M33" s="3" t="n">
        <v>150</v>
      </c>
      <c r="N33" s="3" t="n">
        <v>80</v>
      </c>
      <c r="O33" s="3" t="n">
        <v>100</v>
      </c>
      <c r="P33" s="3" t="n">
        <v>2</v>
      </c>
      <c r="Q33" s="3" t="n">
        <f aca="false">2*(C33+D33)*E33</f>
        <v>51.3</v>
      </c>
      <c r="R33" s="3" t="n">
        <f aca="false">Q33-P33</f>
        <v>49.3</v>
      </c>
      <c r="S33" s="3" t="n">
        <f aca="false">P33/Q33</f>
        <v>0.0389863547758285</v>
      </c>
      <c r="T33" s="3" t="s">
        <v>268</v>
      </c>
      <c r="U33" s="3" t="n">
        <v>3</v>
      </c>
      <c r="V33" s="3" t="s">
        <v>269</v>
      </c>
      <c r="W33" s="3" t="s">
        <v>270</v>
      </c>
      <c r="X33" s="3" t="n">
        <v>0.4</v>
      </c>
      <c r="Y33" s="3" t="n">
        <v>6</v>
      </c>
      <c r="Z33" s="3" t="s">
        <v>271</v>
      </c>
      <c r="AA33" s="3" t="n">
        <v>1</v>
      </c>
      <c r="AB33" s="3" t="n">
        <v>2160</v>
      </c>
      <c r="AC33" s="3" t="s">
        <v>228</v>
      </c>
    </row>
    <row r="34" customFormat="false" ht="15" hidden="false" customHeight="true" outlineLevel="0" collapsed="false">
      <c r="A34" s="3" t="s">
        <v>279</v>
      </c>
      <c r="B34" s="3" t="s">
        <v>280</v>
      </c>
      <c r="C34" s="3" t="n">
        <v>3</v>
      </c>
      <c r="D34" s="3" t="n">
        <v>3</v>
      </c>
      <c r="E34" s="3" t="n">
        <v>2.2</v>
      </c>
      <c r="F34" s="3" t="n">
        <f aca="false">C34*D34</f>
        <v>9</v>
      </c>
      <c r="G34" s="3" t="n">
        <f aca="false">C34*D34*E34</f>
        <v>19.8</v>
      </c>
      <c r="H34" s="3" t="s">
        <v>281</v>
      </c>
      <c r="I34" s="3" t="s">
        <v>149</v>
      </c>
      <c r="J34" s="3" t="s">
        <v>149</v>
      </c>
      <c r="K34" s="3" t="s">
        <v>155</v>
      </c>
      <c r="L34" s="3" t="s">
        <v>239</v>
      </c>
      <c r="M34" s="3" t="n">
        <v>2</v>
      </c>
      <c r="N34" s="3" t="n">
        <v>2</v>
      </c>
      <c r="O34" s="3" t="n">
        <v>0</v>
      </c>
      <c r="P34" s="3" t="n">
        <v>1</v>
      </c>
      <c r="Q34" s="3" t="n">
        <f aca="false">2*(C34+D34)*E34</f>
        <v>26.4</v>
      </c>
      <c r="R34" s="3" t="n">
        <f aca="false">Q34-P34</f>
        <v>25.4</v>
      </c>
      <c r="S34" s="3" t="n">
        <f aca="false">P34/Q34</f>
        <v>0.0378787878787879</v>
      </c>
      <c r="T34" s="3" t="s">
        <v>282</v>
      </c>
      <c r="U34" s="3" t="n">
        <v>2</v>
      </c>
      <c r="V34" s="3" t="s">
        <v>283</v>
      </c>
      <c r="W34" s="3" t="s">
        <v>284</v>
      </c>
      <c r="X34" s="3" t="n">
        <v>0.4</v>
      </c>
      <c r="Y34" s="3" t="n">
        <v>2</v>
      </c>
      <c r="Z34" s="3" t="s">
        <v>271</v>
      </c>
      <c r="AA34" s="3" t="n">
        <v>1</v>
      </c>
      <c r="AB34" s="3" t="n">
        <v>72</v>
      </c>
      <c r="AC34" s="3" t="s">
        <v>228</v>
      </c>
    </row>
    <row r="35" customFormat="false" ht="15" hidden="false" customHeight="true" outlineLevel="0" collapsed="false">
      <c r="A35" s="3" t="s">
        <v>285</v>
      </c>
      <c r="B35" s="3" t="s">
        <v>280</v>
      </c>
      <c r="C35" s="3" t="n">
        <v>4</v>
      </c>
      <c r="D35" s="3" t="n">
        <v>3</v>
      </c>
      <c r="E35" s="3" t="n">
        <v>2.3</v>
      </c>
      <c r="F35" s="3" t="n">
        <f aca="false">C35*D35</f>
        <v>12</v>
      </c>
      <c r="G35" s="3" t="n">
        <f aca="false">C35*D35*E35</f>
        <v>27.6</v>
      </c>
      <c r="H35" s="3" t="s">
        <v>281</v>
      </c>
      <c r="I35" s="3" t="s">
        <v>149</v>
      </c>
      <c r="J35" s="3" t="s">
        <v>149</v>
      </c>
      <c r="K35" s="3" t="s">
        <v>155</v>
      </c>
      <c r="L35" s="3" t="s">
        <v>239</v>
      </c>
      <c r="M35" s="3" t="n">
        <v>2</v>
      </c>
      <c r="N35" s="3" t="n">
        <v>2</v>
      </c>
      <c r="O35" s="3" t="n">
        <v>0</v>
      </c>
      <c r="P35" s="3" t="n">
        <v>1</v>
      </c>
      <c r="Q35" s="3" t="n">
        <f aca="false">2*(C35+D35)*E35</f>
        <v>32.2</v>
      </c>
      <c r="R35" s="3" t="n">
        <f aca="false">Q35-P35</f>
        <v>31.2</v>
      </c>
      <c r="S35" s="3" t="n">
        <f aca="false">P35/Q35</f>
        <v>0.031055900621118</v>
      </c>
      <c r="T35" s="3" t="s">
        <v>282</v>
      </c>
      <c r="U35" s="3" t="n">
        <v>2</v>
      </c>
      <c r="V35" s="3" t="s">
        <v>283</v>
      </c>
      <c r="W35" s="3" t="s">
        <v>284</v>
      </c>
      <c r="X35" s="3" t="n">
        <v>0.4</v>
      </c>
      <c r="Y35" s="3" t="n">
        <v>4</v>
      </c>
      <c r="Z35" s="3" t="s">
        <v>271</v>
      </c>
      <c r="AA35" s="3" t="n">
        <v>1</v>
      </c>
      <c r="AB35" s="3" t="n">
        <v>500</v>
      </c>
      <c r="AC35" s="3" t="s">
        <v>228</v>
      </c>
    </row>
    <row r="36" customFormat="false" ht="15" hidden="false" customHeight="true" outlineLevel="0" collapsed="false">
      <c r="A36" s="3" t="s">
        <v>286</v>
      </c>
      <c r="B36" s="3" t="s">
        <v>280</v>
      </c>
      <c r="C36" s="3" t="n">
        <v>3</v>
      </c>
      <c r="D36" s="3" t="n">
        <v>3</v>
      </c>
      <c r="E36" s="3" t="n">
        <v>2.2</v>
      </c>
      <c r="F36" s="3" t="n">
        <f aca="false">C36*D36</f>
        <v>9</v>
      </c>
      <c r="G36" s="3" t="n">
        <f aca="false">C36*D36*E36</f>
        <v>19.8</v>
      </c>
      <c r="H36" s="3" t="s">
        <v>281</v>
      </c>
      <c r="I36" s="3" t="s">
        <v>149</v>
      </c>
      <c r="J36" s="3" t="s">
        <v>149</v>
      </c>
      <c r="K36" s="3" t="s">
        <v>155</v>
      </c>
      <c r="L36" s="3" t="s">
        <v>127</v>
      </c>
      <c r="M36" s="3" t="n">
        <v>2</v>
      </c>
      <c r="N36" s="3" t="n">
        <v>2</v>
      </c>
      <c r="O36" s="3" t="n">
        <v>25</v>
      </c>
      <c r="P36" s="3" t="n">
        <v>1</v>
      </c>
      <c r="Q36" s="3" t="n">
        <f aca="false">2*(C36+D36)*E36</f>
        <v>26.4</v>
      </c>
      <c r="R36" s="3" t="n">
        <f aca="false">Q36-P36</f>
        <v>25.4</v>
      </c>
      <c r="S36" s="3" t="n">
        <f aca="false">P36/Q36</f>
        <v>0.0378787878787879</v>
      </c>
      <c r="T36" s="3" t="s">
        <v>282</v>
      </c>
      <c r="U36" s="3" t="n">
        <v>2</v>
      </c>
      <c r="V36" s="3" t="s">
        <v>283</v>
      </c>
      <c r="W36" s="3" t="s">
        <v>284</v>
      </c>
      <c r="X36" s="3" t="n">
        <v>0.4</v>
      </c>
      <c r="Y36" s="3" t="n">
        <v>2</v>
      </c>
      <c r="Z36" s="3" t="s">
        <v>271</v>
      </c>
      <c r="AA36" s="3" t="n">
        <v>1</v>
      </c>
      <c r="AB36" s="3" t="n">
        <v>72</v>
      </c>
      <c r="AC36" s="3" t="s">
        <v>228</v>
      </c>
    </row>
    <row r="37" customFormat="false" ht="15" hidden="false" customHeight="true" outlineLevel="0" collapsed="false">
      <c r="A37" s="3" t="s">
        <v>287</v>
      </c>
      <c r="B37" s="3" t="s">
        <v>280</v>
      </c>
      <c r="C37" s="3" t="n">
        <v>4</v>
      </c>
      <c r="D37" s="3" t="n">
        <v>3</v>
      </c>
      <c r="E37" s="3" t="n">
        <v>2.3</v>
      </c>
      <c r="F37" s="3" t="n">
        <f aca="false">C37*D37</f>
        <v>12</v>
      </c>
      <c r="G37" s="3" t="n">
        <f aca="false">C37*D37*E37</f>
        <v>27.6</v>
      </c>
      <c r="H37" s="3" t="s">
        <v>281</v>
      </c>
      <c r="I37" s="3" t="s">
        <v>149</v>
      </c>
      <c r="J37" s="3" t="s">
        <v>149</v>
      </c>
      <c r="K37" s="3" t="s">
        <v>155</v>
      </c>
      <c r="L37" s="3" t="s">
        <v>127</v>
      </c>
      <c r="M37" s="3" t="n">
        <v>2</v>
      </c>
      <c r="N37" s="3" t="n">
        <v>2</v>
      </c>
      <c r="O37" s="3" t="n">
        <v>25</v>
      </c>
      <c r="P37" s="3" t="n">
        <v>1</v>
      </c>
      <c r="Q37" s="3" t="n">
        <f aca="false">2*(C37+D37)*E37</f>
        <v>32.2</v>
      </c>
      <c r="R37" s="3" t="n">
        <f aca="false">Q37-P37</f>
        <v>31.2</v>
      </c>
      <c r="S37" s="3" t="n">
        <f aca="false">P37/Q37</f>
        <v>0.031055900621118</v>
      </c>
      <c r="T37" s="3" t="s">
        <v>282</v>
      </c>
      <c r="U37" s="3" t="n">
        <v>2</v>
      </c>
      <c r="V37" s="3" t="s">
        <v>283</v>
      </c>
      <c r="W37" s="3" t="s">
        <v>284</v>
      </c>
      <c r="X37" s="3" t="n">
        <v>0.4</v>
      </c>
      <c r="Y37" s="3" t="n">
        <v>4</v>
      </c>
      <c r="Z37" s="3" t="s">
        <v>271</v>
      </c>
      <c r="AA37" s="3" t="n">
        <v>1</v>
      </c>
      <c r="AB37" s="3" t="n">
        <v>500</v>
      </c>
      <c r="AC37" s="3" t="s">
        <v>228</v>
      </c>
    </row>
    <row r="38" customFormat="false" ht="15" hidden="false" customHeight="true" outlineLevel="0" collapsed="false">
      <c r="A38" s="3" t="s">
        <v>288</v>
      </c>
      <c r="B38" s="3" t="s">
        <v>280</v>
      </c>
      <c r="C38" s="3" t="n">
        <v>3</v>
      </c>
      <c r="D38" s="3" t="n">
        <v>3</v>
      </c>
      <c r="E38" s="3" t="n">
        <v>2.2</v>
      </c>
      <c r="F38" s="3" t="n">
        <f aca="false">C38*D38</f>
        <v>9</v>
      </c>
      <c r="G38" s="3" t="n">
        <f aca="false">C38*D38*E38</f>
        <v>19.8</v>
      </c>
      <c r="H38" s="3" t="s">
        <v>281</v>
      </c>
      <c r="I38" s="3" t="s">
        <v>289</v>
      </c>
      <c r="J38" s="3" t="s">
        <v>289</v>
      </c>
      <c r="K38" s="3" t="s">
        <v>155</v>
      </c>
      <c r="L38" s="3" t="s">
        <v>239</v>
      </c>
      <c r="M38" s="3" t="n">
        <v>2</v>
      </c>
      <c r="N38" s="3" t="n">
        <v>2</v>
      </c>
      <c r="O38" s="3" t="n">
        <v>0</v>
      </c>
      <c r="P38" s="3" t="n">
        <v>1</v>
      </c>
      <c r="Q38" s="3" t="n">
        <f aca="false">2*(C38+D38)*E38</f>
        <v>26.4</v>
      </c>
      <c r="R38" s="3" t="n">
        <f aca="false">Q38-P38</f>
        <v>25.4</v>
      </c>
      <c r="S38" s="3" t="n">
        <f aca="false">P38/Q38</f>
        <v>0.0378787878787879</v>
      </c>
      <c r="T38" s="3" t="s">
        <v>282</v>
      </c>
      <c r="U38" s="3" t="n">
        <v>2</v>
      </c>
      <c r="V38" s="3" t="s">
        <v>283</v>
      </c>
      <c r="W38" s="3" t="s">
        <v>284</v>
      </c>
      <c r="X38" s="3" t="n">
        <v>0.4</v>
      </c>
      <c r="Y38" s="3" t="n">
        <v>2</v>
      </c>
      <c r="Z38" s="3" t="s">
        <v>271</v>
      </c>
      <c r="AA38" s="3" t="n">
        <v>1</v>
      </c>
      <c r="AB38" s="3" t="n">
        <v>72</v>
      </c>
      <c r="AC38" s="3" t="s">
        <v>228</v>
      </c>
    </row>
    <row r="39" customFormat="false" ht="15" hidden="false" customHeight="true" outlineLevel="0" collapsed="false">
      <c r="A39" s="3" t="s">
        <v>290</v>
      </c>
      <c r="B39" s="3" t="s">
        <v>280</v>
      </c>
      <c r="C39" s="3" t="n">
        <v>4</v>
      </c>
      <c r="D39" s="3" t="n">
        <v>3</v>
      </c>
      <c r="E39" s="3" t="n">
        <v>2.3</v>
      </c>
      <c r="F39" s="3" t="n">
        <f aca="false">C39*D39</f>
        <v>12</v>
      </c>
      <c r="G39" s="3" t="n">
        <f aca="false">C39*D39*E39</f>
        <v>27.6</v>
      </c>
      <c r="H39" s="3" t="s">
        <v>281</v>
      </c>
      <c r="I39" s="3" t="s">
        <v>289</v>
      </c>
      <c r="J39" s="3" t="s">
        <v>289</v>
      </c>
      <c r="K39" s="3" t="s">
        <v>155</v>
      </c>
      <c r="L39" s="3" t="s">
        <v>239</v>
      </c>
      <c r="M39" s="3" t="n">
        <v>2</v>
      </c>
      <c r="N39" s="3" t="n">
        <v>2</v>
      </c>
      <c r="O39" s="3" t="n">
        <v>0</v>
      </c>
      <c r="P39" s="3" t="n">
        <v>1</v>
      </c>
      <c r="Q39" s="3" t="n">
        <f aca="false">2*(C39+D39)*E39</f>
        <v>32.2</v>
      </c>
      <c r="R39" s="3" t="n">
        <f aca="false">Q39-P39</f>
        <v>31.2</v>
      </c>
      <c r="S39" s="3" t="n">
        <f aca="false">P39/Q39</f>
        <v>0.031055900621118</v>
      </c>
      <c r="T39" s="3" t="s">
        <v>282</v>
      </c>
      <c r="U39" s="3" t="n">
        <v>2</v>
      </c>
      <c r="V39" s="3" t="s">
        <v>283</v>
      </c>
      <c r="W39" s="3" t="s">
        <v>284</v>
      </c>
      <c r="X39" s="3" t="n">
        <v>0.4</v>
      </c>
      <c r="Y39" s="3" t="n">
        <v>4</v>
      </c>
      <c r="Z39" s="3" t="s">
        <v>271</v>
      </c>
      <c r="AA39" s="3" t="n">
        <v>1</v>
      </c>
      <c r="AB39" s="3" t="n">
        <v>500</v>
      </c>
      <c r="AC39" s="3" t="s">
        <v>228</v>
      </c>
    </row>
    <row r="40" customFormat="false" ht="15" hidden="false" customHeight="true" outlineLevel="0" collapsed="false">
      <c r="A40" s="3" t="s">
        <v>291</v>
      </c>
      <c r="B40" s="3" t="s">
        <v>280</v>
      </c>
      <c r="C40" s="3" t="n">
        <v>3</v>
      </c>
      <c r="D40" s="3" t="n">
        <v>3</v>
      </c>
      <c r="E40" s="3" t="n">
        <v>2.2</v>
      </c>
      <c r="F40" s="3" t="n">
        <f aca="false">C40*D40</f>
        <v>9</v>
      </c>
      <c r="G40" s="3" t="n">
        <f aca="false">C40*D40*E40</f>
        <v>19.8</v>
      </c>
      <c r="H40" s="3" t="s">
        <v>281</v>
      </c>
      <c r="I40" s="3" t="s">
        <v>289</v>
      </c>
      <c r="J40" s="3" t="s">
        <v>289</v>
      </c>
      <c r="K40" s="3" t="s">
        <v>155</v>
      </c>
      <c r="L40" s="3" t="s">
        <v>127</v>
      </c>
      <c r="M40" s="3" t="n">
        <v>2</v>
      </c>
      <c r="N40" s="3" t="n">
        <v>2</v>
      </c>
      <c r="O40" s="3" t="n">
        <v>25</v>
      </c>
      <c r="P40" s="3" t="n">
        <v>1</v>
      </c>
      <c r="Q40" s="3" t="n">
        <f aca="false">2*(C40+D40)*E40</f>
        <v>26.4</v>
      </c>
      <c r="R40" s="3" t="n">
        <f aca="false">Q40-P40</f>
        <v>25.4</v>
      </c>
      <c r="S40" s="3" t="n">
        <f aca="false">P40/Q40</f>
        <v>0.0378787878787879</v>
      </c>
      <c r="T40" s="3" t="s">
        <v>282</v>
      </c>
      <c r="U40" s="3" t="n">
        <v>2</v>
      </c>
      <c r="V40" s="3" t="s">
        <v>283</v>
      </c>
      <c r="W40" s="3" t="s">
        <v>284</v>
      </c>
      <c r="X40" s="3" t="n">
        <v>0.4</v>
      </c>
      <c r="Y40" s="3" t="n">
        <v>2</v>
      </c>
      <c r="Z40" s="3" t="s">
        <v>271</v>
      </c>
      <c r="AA40" s="3" t="n">
        <v>1</v>
      </c>
      <c r="AB40" s="3" t="n">
        <v>72</v>
      </c>
      <c r="AC40" s="3" t="s">
        <v>228</v>
      </c>
    </row>
    <row r="41" customFormat="false" ht="15" hidden="false" customHeight="true" outlineLevel="0" collapsed="false">
      <c r="A41" s="3" t="s">
        <v>292</v>
      </c>
      <c r="B41" s="3" t="s">
        <v>280</v>
      </c>
      <c r="C41" s="3" t="n">
        <v>4</v>
      </c>
      <c r="D41" s="3" t="n">
        <v>3</v>
      </c>
      <c r="E41" s="3" t="n">
        <v>2.3</v>
      </c>
      <c r="F41" s="3" t="n">
        <f aca="false">C41*D41</f>
        <v>12</v>
      </c>
      <c r="G41" s="3" t="n">
        <f aca="false">C41*D41*E41</f>
        <v>27.6</v>
      </c>
      <c r="H41" s="3" t="s">
        <v>281</v>
      </c>
      <c r="I41" s="3" t="s">
        <v>289</v>
      </c>
      <c r="J41" s="3" t="s">
        <v>289</v>
      </c>
      <c r="K41" s="3" t="s">
        <v>155</v>
      </c>
      <c r="L41" s="3" t="s">
        <v>127</v>
      </c>
      <c r="M41" s="3" t="n">
        <v>2</v>
      </c>
      <c r="N41" s="3" t="n">
        <v>2</v>
      </c>
      <c r="O41" s="3" t="n">
        <v>25</v>
      </c>
      <c r="P41" s="3" t="n">
        <v>1</v>
      </c>
      <c r="Q41" s="3" t="n">
        <f aca="false">2*(C41+D41)*E41</f>
        <v>32.2</v>
      </c>
      <c r="R41" s="3" t="n">
        <f aca="false">Q41-P41</f>
        <v>31.2</v>
      </c>
      <c r="S41" s="3" t="n">
        <f aca="false">P41/Q41</f>
        <v>0.031055900621118</v>
      </c>
      <c r="T41" s="3" t="s">
        <v>282</v>
      </c>
      <c r="U41" s="3" t="n">
        <v>2</v>
      </c>
      <c r="V41" s="3" t="s">
        <v>283</v>
      </c>
      <c r="W41" s="3" t="s">
        <v>284</v>
      </c>
      <c r="X41" s="3" t="n">
        <v>0.4</v>
      </c>
      <c r="Y41" s="3" t="n">
        <v>4</v>
      </c>
      <c r="Z41" s="3" t="s">
        <v>271</v>
      </c>
      <c r="AA41" s="3" t="n">
        <v>1</v>
      </c>
      <c r="AB41" s="3" t="n">
        <v>500</v>
      </c>
      <c r="AC41" s="3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31" min="31" style="1" width="55"/>
  </cols>
  <sheetData>
    <row r="1" customFormat="false" ht="15" hidden="false" customHeight="true" outlineLevel="0" collapsed="false">
      <c r="A1" s="2" t="s">
        <v>293</v>
      </c>
      <c r="B1" s="2" t="s">
        <v>193</v>
      </c>
      <c r="C1" s="2" t="s">
        <v>194</v>
      </c>
      <c r="D1" s="2" t="s">
        <v>294</v>
      </c>
      <c r="E1" s="2" t="s">
        <v>0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15</v>
      </c>
      <c r="L1" s="2" t="s">
        <v>16</v>
      </c>
      <c r="M1" s="2" t="s">
        <v>201</v>
      </c>
      <c r="N1" s="2" t="s">
        <v>295</v>
      </c>
      <c r="O1" s="2" t="s">
        <v>205</v>
      </c>
      <c r="P1" s="2" t="s">
        <v>204</v>
      </c>
      <c r="Q1" s="2" t="s">
        <v>296</v>
      </c>
      <c r="R1" s="2" t="s">
        <v>207</v>
      </c>
      <c r="S1" s="2" t="s">
        <v>297</v>
      </c>
      <c r="T1" s="2" t="s">
        <v>298</v>
      </c>
      <c r="U1" s="2" t="s">
        <v>299</v>
      </c>
      <c r="V1" s="2" t="s">
        <v>300</v>
      </c>
      <c r="W1" s="2" t="s">
        <v>301</v>
      </c>
      <c r="X1" s="2" t="s">
        <v>210</v>
      </c>
      <c r="Y1" s="2" t="s">
        <v>208</v>
      </c>
      <c r="Z1" s="2" t="s">
        <v>199</v>
      </c>
      <c r="AA1" s="2" t="s">
        <v>211</v>
      </c>
      <c r="AB1" s="2" t="s">
        <v>217</v>
      </c>
      <c r="AC1" s="2" t="s">
        <v>218</v>
      </c>
      <c r="AD1" s="2" t="s">
        <v>219</v>
      </c>
      <c r="AE1" s="2" t="s">
        <v>19</v>
      </c>
    </row>
    <row r="2" customFormat="false" ht="15" hidden="false" customHeight="true" outlineLevel="0" collapsed="false">
      <c r="A2" s="3" t="s">
        <v>302</v>
      </c>
      <c r="B2" s="3" t="s">
        <v>221</v>
      </c>
      <c r="C2" s="3" t="s">
        <v>222</v>
      </c>
      <c r="D2" s="3" t="s">
        <v>303</v>
      </c>
      <c r="E2" s="3" t="s">
        <v>20</v>
      </c>
      <c r="F2" s="3" t="s">
        <v>22</v>
      </c>
      <c r="G2" s="3" t="str">
        <f aca="false">E2&amp;"-"&amp;F2</f>
        <v>Leh-January</v>
      </c>
      <c r="H2" s="3" t="n">
        <f aca="false">INDEX(Weather_Data!$K$2:$K$73,MATCH($G2,Weather_Data!$J$2:$J$73,0))</f>
        <v>-8</v>
      </c>
      <c r="I2" s="3" t="n">
        <f aca="false">INDEX(Weather_Data!$L$2:$L$73,MATCH($G2,Weather_Data!$J$2:$J$73,0))</f>
        <v>25</v>
      </c>
      <c r="J2" s="3" t="n">
        <f aca="false">INDEX(Weather_Data!$M$2:$M$73,MATCH($G2,Weather_Data!$J$2:$J$73,0))</f>
        <v>2</v>
      </c>
      <c r="K2" s="3" t="n">
        <f aca="false">INDEX(Weather_Data!$P$2:$P$73,MATCH($G2,Weather_Data!$J$2:$J$73,0))</f>
        <v>166.666666666667</v>
      </c>
      <c r="L2" s="3" t="n">
        <f aca="false">INDEX(Weather_Data!$Q$2:$Q$73,MATCH($G2,Weather_Data!$J$2:$J$73,0))</f>
        <v>5</v>
      </c>
      <c r="M2" s="3" t="str">
        <f aca="false">INDEX(Shelter_Design!$I$2:$I$41,MATCH($B2,Shelter_Design!$A$2:$A$41,0))</f>
        <v>M06</v>
      </c>
      <c r="N2" s="3" t="n">
        <f aca="false">IFERROR(INDEX(Material_Properties!$D$2:$D$21,MATCH(M2,Material_Properties!$A$2:$A$21,0)),1)</f>
        <v>0.14</v>
      </c>
      <c r="O2" s="3" t="n">
        <f aca="false">INDEX(Shelter_Design!$M$2:$M$41,MATCH($B2,Shelter_Design!$A$2:$A$41,0))</f>
        <v>150</v>
      </c>
      <c r="P2" s="3" t="str">
        <f aca="false">INDEX(Shelter_Design!$L$2:$L$41,MATCH($B2,Shelter_Design!$A$2:$A$41,0))</f>
        <v>M11</v>
      </c>
      <c r="Q2" s="3" t="n">
        <f aca="false">IF(P2="None",0,IFERROR(INDEX(Material_Properties!$D$2:$D$21,MATCH(P2,Material_Properties!$A$2:$A$21,0)),0))</f>
        <v>0.025</v>
      </c>
      <c r="R2" s="3" t="n">
        <f aca="false">INDEX(Shelter_Design!$O$2:$O$41,MATCH($B2,Shelter_Design!$A$2:$A$41,0))</f>
        <v>100</v>
      </c>
      <c r="S2" s="3" t="n">
        <f aca="false">(O2/1000)/N2</f>
        <v>1.07142857142857</v>
      </c>
      <c r="T2" s="3" t="n">
        <f aca="false">IF(OR(P2="None",Q2=0),0,(R2/1000)/Q2)</f>
        <v>4</v>
      </c>
      <c r="U2" s="3" t="n">
        <v>0.17</v>
      </c>
      <c r="V2" s="3" t="n">
        <f aca="false">S2+T2+U2</f>
        <v>5.24142857142857</v>
      </c>
      <c r="W2" s="3" t="n">
        <f aca="false">1/V2</f>
        <v>0.190787680566912</v>
      </c>
      <c r="X2" s="3" t="n">
        <f aca="false">INDEX(Shelter_Design!$R$2:$R$41,MATCH($B2,Shelter_Design!$A$2:$A$41,0))</f>
        <v>27.6</v>
      </c>
      <c r="Y2" s="3" t="n">
        <f aca="false">INDEX(Shelter_Design!$P$2:$P$41,MATCH($B2,Shelter_Design!$A$2:$A$41,0))</f>
        <v>1.2</v>
      </c>
      <c r="Z2" s="3" t="n">
        <f aca="false">INDEX(Shelter_Design!$G$2:$G$41,MATCH($B2,Shelter_Design!$A$2:$A$41,0))</f>
        <v>21.6</v>
      </c>
      <c r="AA2" s="3" t="n">
        <f aca="false">INDEX(Shelter_Design!$S$2:$S$41,MATCH($B2,Shelter_Design!$A$2:$A$41,0))</f>
        <v>0.0416666666666667</v>
      </c>
      <c r="AB2" s="3" t="n">
        <f aca="false">INDEX(Shelter_Design!$Y$2:$Y$41,MATCH($B2,Shelter_Design!$A$2:$A$41,0))</f>
        <v>2</v>
      </c>
      <c r="AC2" s="3" t="str">
        <f aca="false">INDEX(Shelter_Design!$Z$2:$Z$41,MATCH($B2,Shelter_Design!$A$2:$A$41,0))</f>
        <v>Resting / sleeping</v>
      </c>
      <c r="AD2" s="3" t="n">
        <f aca="false">INDEX(Shelter_Design!$AA$2:$AA$41,MATCH($B2,Shelter_Design!$A$2:$A$41,0))</f>
        <v>1.75</v>
      </c>
      <c r="AE2" s="3" t="s">
        <v>304</v>
      </c>
    </row>
    <row r="3" customFormat="false" ht="15" hidden="false" customHeight="true" outlineLevel="0" collapsed="false">
      <c r="A3" s="3" t="s">
        <v>305</v>
      </c>
      <c r="B3" s="3" t="s">
        <v>221</v>
      </c>
      <c r="C3" s="3" t="s">
        <v>222</v>
      </c>
      <c r="D3" s="3" t="s">
        <v>303</v>
      </c>
      <c r="E3" s="3" t="s">
        <v>20</v>
      </c>
      <c r="F3" s="3" t="s">
        <v>33</v>
      </c>
      <c r="G3" s="3" t="str">
        <f aca="false">E3&amp;"-"&amp;F3</f>
        <v>Leh-April</v>
      </c>
      <c r="H3" s="3" t="n">
        <f aca="false">INDEX(Weather_Data!$K$2:$K$73,MATCH($G3,Weather_Data!$J$2:$J$73,0))</f>
        <v>7</v>
      </c>
      <c r="I3" s="3" t="n">
        <f aca="false">INDEX(Weather_Data!$L$2:$L$73,MATCH($G3,Weather_Data!$J$2:$J$73,0))</f>
        <v>30</v>
      </c>
      <c r="J3" s="3" t="n">
        <f aca="false">INDEX(Weather_Data!$M$2:$M$73,MATCH($G3,Weather_Data!$J$2:$J$73,0))</f>
        <v>4</v>
      </c>
      <c r="K3" s="3" t="n">
        <f aca="false">INDEX(Weather_Data!$P$2:$P$73,MATCH($G3,Weather_Data!$J$2:$J$73,0))</f>
        <v>270.833333333333</v>
      </c>
      <c r="L3" s="3" t="n">
        <f aca="false">INDEX(Weather_Data!$Q$2:$Q$73,MATCH($G3,Weather_Data!$J$2:$J$73,0))</f>
        <v>10</v>
      </c>
      <c r="M3" s="3" t="str">
        <f aca="false">INDEX(Shelter_Design!$I$2:$I$41,MATCH($B3,Shelter_Design!$A$2:$A$41,0))</f>
        <v>M06</v>
      </c>
      <c r="N3" s="3" t="n">
        <f aca="false">IFERROR(INDEX(Material_Properties!$D$2:$D$21,MATCH(M3,Material_Properties!$A$2:$A$21,0)),1)</f>
        <v>0.14</v>
      </c>
      <c r="O3" s="3" t="n">
        <f aca="false">INDEX(Shelter_Design!$M$2:$M$41,MATCH($B3,Shelter_Design!$A$2:$A$41,0))</f>
        <v>150</v>
      </c>
      <c r="P3" s="3" t="str">
        <f aca="false">INDEX(Shelter_Design!$L$2:$L$41,MATCH($B3,Shelter_Design!$A$2:$A$41,0))</f>
        <v>M11</v>
      </c>
      <c r="Q3" s="3" t="n">
        <f aca="false">IF(P3="None",0,IFERROR(INDEX(Material_Properties!$D$2:$D$21,MATCH(P3,Material_Properties!$A$2:$A$21,0)),0))</f>
        <v>0.025</v>
      </c>
      <c r="R3" s="3" t="n">
        <f aca="false">INDEX(Shelter_Design!$O$2:$O$41,MATCH($B3,Shelter_Design!$A$2:$A$41,0))</f>
        <v>100</v>
      </c>
      <c r="S3" s="3" t="n">
        <f aca="false">(O3/1000)/N3</f>
        <v>1.07142857142857</v>
      </c>
      <c r="T3" s="3" t="n">
        <f aca="false">IF(OR(P3="None",Q3=0),0,(R3/1000)/Q3)</f>
        <v>4</v>
      </c>
      <c r="U3" s="3" t="n">
        <v>0.17</v>
      </c>
      <c r="V3" s="3" t="n">
        <f aca="false">S3+T3+U3</f>
        <v>5.24142857142857</v>
      </c>
      <c r="W3" s="3" t="n">
        <f aca="false">1/V3</f>
        <v>0.190787680566912</v>
      </c>
      <c r="X3" s="3" t="n">
        <f aca="false">INDEX(Shelter_Design!$R$2:$R$41,MATCH($B3,Shelter_Design!$A$2:$A$41,0))</f>
        <v>27.6</v>
      </c>
      <c r="Y3" s="3" t="n">
        <f aca="false">INDEX(Shelter_Design!$P$2:$P$41,MATCH($B3,Shelter_Design!$A$2:$A$41,0))</f>
        <v>1.2</v>
      </c>
      <c r="Z3" s="3" t="n">
        <f aca="false">INDEX(Shelter_Design!$G$2:$G$41,MATCH($B3,Shelter_Design!$A$2:$A$41,0))</f>
        <v>21.6</v>
      </c>
      <c r="AA3" s="3" t="n">
        <f aca="false">INDEX(Shelter_Design!$S$2:$S$41,MATCH($B3,Shelter_Design!$A$2:$A$41,0))</f>
        <v>0.0416666666666667</v>
      </c>
      <c r="AB3" s="3" t="n">
        <f aca="false">INDEX(Shelter_Design!$Y$2:$Y$41,MATCH($B3,Shelter_Design!$A$2:$A$41,0))</f>
        <v>2</v>
      </c>
      <c r="AC3" s="3" t="str">
        <f aca="false">INDEX(Shelter_Design!$Z$2:$Z$41,MATCH($B3,Shelter_Design!$A$2:$A$41,0))</f>
        <v>Resting / sleeping</v>
      </c>
      <c r="AD3" s="3" t="n">
        <f aca="false">INDEX(Shelter_Design!$AA$2:$AA$41,MATCH($B3,Shelter_Design!$A$2:$A$41,0))</f>
        <v>1.75</v>
      </c>
      <c r="AE3" s="3" t="s">
        <v>304</v>
      </c>
    </row>
    <row r="4" customFormat="false" ht="15" hidden="false" customHeight="true" outlineLevel="0" collapsed="false">
      <c r="A4" s="3" t="s">
        <v>306</v>
      </c>
      <c r="B4" s="3" t="s">
        <v>221</v>
      </c>
      <c r="C4" s="3" t="s">
        <v>222</v>
      </c>
      <c r="D4" s="3" t="s">
        <v>303</v>
      </c>
      <c r="E4" s="3" t="s">
        <v>20</v>
      </c>
      <c r="F4" s="3" t="s">
        <v>42</v>
      </c>
      <c r="G4" s="3" t="str">
        <f aca="false">E4&amp;"-"&amp;F4</f>
        <v>Leh-July</v>
      </c>
      <c r="H4" s="3" t="n">
        <f aca="false">INDEX(Weather_Data!$K$2:$K$73,MATCH($G4,Weather_Data!$J$2:$J$73,0))</f>
        <v>19</v>
      </c>
      <c r="I4" s="3" t="n">
        <f aca="false">INDEX(Weather_Data!$L$2:$L$73,MATCH($G4,Weather_Data!$J$2:$J$73,0))</f>
        <v>38</v>
      </c>
      <c r="J4" s="3" t="n">
        <f aca="false">INDEX(Weather_Data!$M$2:$M$73,MATCH($G4,Weather_Data!$J$2:$J$73,0))</f>
        <v>3</v>
      </c>
      <c r="K4" s="3" t="n">
        <f aca="false">INDEX(Weather_Data!$P$2:$P$73,MATCH($G4,Weather_Data!$J$2:$J$73,0))</f>
        <v>283.333333333333</v>
      </c>
      <c r="L4" s="3" t="n">
        <f aca="false">INDEX(Weather_Data!$Q$2:$Q$73,MATCH($G4,Weather_Data!$J$2:$J$73,0))</f>
        <v>15</v>
      </c>
      <c r="M4" s="3" t="str">
        <f aca="false">INDEX(Shelter_Design!$I$2:$I$41,MATCH($B4,Shelter_Design!$A$2:$A$41,0))</f>
        <v>M06</v>
      </c>
      <c r="N4" s="3" t="n">
        <f aca="false">IFERROR(INDEX(Material_Properties!$D$2:$D$21,MATCH(M4,Material_Properties!$A$2:$A$21,0)),1)</f>
        <v>0.14</v>
      </c>
      <c r="O4" s="3" t="n">
        <f aca="false">INDEX(Shelter_Design!$M$2:$M$41,MATCH($B4,Shelter_Design!$A$2:$A$41,0))</f>
        <v>150</v>
      </c>
      <c r="P4" s="3" t="str">
        <f aca="false">INDEX(Shelter_Design!$L$2:$L$41,MATCH($B4,Shelter_Design!$A$2:$A$41,0))</f>
        <v>M11</v>
      </c>
      <c r="Q4" s="3" t="n">
        <f aca="false">IF(P4="None",0,IFERROR(INDEX(Material_Properties!$D$2:$D$21,MATCH(P4,Material_Properties!$A$2:$A$21,0)),0))</f>
        <v>0.025</v>
      </c>
      <c r="R4" s="3" t="n">
        <f aca="false">INDEX(Shelter_Design!$O$2:$O$41,MATCH($B4,Shelter_Design!$A$2:$A$41,0))</f>
        <v>100</v>
      </c>
      <c r="S4" s="3" t="n">
        <f aca="false">(O4/1000)/N4</f>
        <v>1.07142857142857</v>
      </c>
      <c r="T4" s="3" t="n">
        <f aca="false">IF(OR(P4="None",Q4=0),0,(R4/1000)/Q4)</f>
        <v>4</v>
      </c>
      <c r="U4" s="3" t="n">
        <v>0.17</v>
      </c>
      <c r="V4" s="3" t="n">
        <f aca="false">S4+T4+U4</f>
        <v>5.24142857142857</v>
      </c>
      <c r="W4" s="3" t="n">
        <f aca="false">1/V4</f>
        <v>0.190787680566912</v>
      </c>
      <c r="X4" s="3" t="n">
        <f aca="false">INDEX(Shelter_Design!$R$2:$R$41,MATCH($B4,Shelter_Design!$A$2:$A$41,0))</f>
        <v>27.6</v>
      </c>
      <c r="Y4" s="3" t="n">
        <f aca="false">INDEX(Shelter_Design!$P$2:$P$41,MATCH($B4,Shelter_Design!$A$2:$A$41,0))</f>
        <v>1.2</v>
      </c>
      <c r="Z4" s="3" t="n">
        <f aca="false">INDEX(Shelter_Design!$G$2:$G$41,MATCH($B4,Shelter_Design!$A$2:$A$41,0))</f>
        <v>21.6</v>
      </c>
      <c r="AA4" s="3" t="n">
        <f aca="false">INDEX(Shelter_Design!$S$2:$S$41,MATCH($B4,Shelter_Design!$A$2:$A$41,0))</f>
        <v>0.0416666666666667</v>
      </c>
      <c r="AB4" s="3" t="n">
        <f aca="false">INDEX(Shelter_Design!$Y$2:$Y$41,MATCH($B4,Shelter_Design!$A$2:$A$41,0))</f>
        <v>2</v>
      </c>
      <c r="AC4" s="3" t="str">
        <f aca="false">INDEX(Shelter_Design!$Z$2:$Z$41,MATCH($B4,Shelter_Design!$A$2:$A$41,0))</f>
        <v>Resting / sleeping</v>
      </c>
      <c r="AD4" s="3" t="n">
        <f aca="false">INDEX(Shelter_Design!$AA$2:$AA$41,MATCH($B4,Shelter_Design!$A$2:$A$41,0))</f>
        <v>1.75</v>
      </c>
      <c r="AE4" s="3" t="s">
        <v>304</v>
      </c>
    </row>
    <row r="5" customFormat="false" ht="15" hidden="false" customHeight="true" outlineLevel="0" collapsed="false">
      <c r="A5" s="3" t="s">
        <v>307</v>
      </c>
      <c r="B5" s="3" t="s">
        <v>221</v>
      </c>
      <c r="C5" s="3" t="s">
        <v>222</v>
      </c>
      <c r="D5" s="3" t="s">
        <v>303</v>
      </c>
      <c r="E5" s="3" t="s">
        <v>20</v>
      </c>
      <c r="F5" s="3" t="s">
        <v>46</v>
      </c>
      <c r="G5" s="3" t="str">
        <f aca="false">E5&amp;"-"&amp;F5</f>
        <v>Leh-September</v>
      </c>
      <c r="H5" s="3" t="n">
        <f aca="false">INDEX(Weather_Data!$K$2:$K$73,MATCH($G5,Weather_Data!$J$2:$J$73,0))</f>
        <v>14</v>
      </c>
      <c r="I5" s="3" t="n">
        <f aca="false">INDEX(Weather_Data!$L$2:$L$73,MATCH($G5,Weather_Data!$J$2:$J$73,0))</f>
        <v>35</v>
      </c>
      <c r="J5" s="3" t="n">
        <f aca="false">INDEX(Weather_Data!$M$2:$M$73,MATCH($G5,Weather_Data!$J$2:$J$73,0))</f>
        <v>3</v>
      </c>
      <c r="K5" s="3" t="n">
        <f aca="false">INDEX(Weather_Data!$P$2:$P$73,MATCH($G5,Weather_Data!$J$2:$J$73,0))</f>
        <v>250</v>
      </c>
      <c r="L5" s="3" t="n">
        <f aca="false">INDEX(Weather_Data!$Q$2:$Q$73,MATCH($G5,Weather_Data!$J$2:$J$73,0))</f>
        <v>8</v>
      </c>
      <c r="M5" s="3" t="str">
        <f aca="false">INDEX(Shelter_Design!$I$2:$I$41,MATCH($B5,Shelter_Design!$A$2:$A$41,0))</f>
        <v>M06</v>
      </c>
      <c r="N5" s="3" t="n">
        <f aca="false">IFERROR(INDEX(Material_Properties!$D$2:$D$21,MATCH(M5,Material_Properties!$A$2:$A$21,0)),1)</f>
        <v>0.14</v>
      </c>
      <c r="O5" s="3" t="n">
        <f aca="false">INDEX(Shelter_Design!$M$2:$M$41,MATCH($B5,Shelter_Design!$A$2:$A$41,0))</f>
        <v>150</v>
      </c>
      <c r="P5" s="3" t="str">
        <f aca="false">INDEX(Shelter_Design!$L$2:$L$41,MATCH($B5,Shelter_Design!$A$2:$A$41,0))</f>
        <v>M11</v>
      </c>
      <c r="Q5" s="3" t="n">
        <f aca="false">IF(P5="None",0,IFERROR(INDEX(Material_Properties!$D$2:$D$21,MATCH(P5,Material_Properties!$A$2:$A$21,0)),0))</f>
        <v>0.025</v>
      </c>
      <c r="R5" s="3" t="n">
        <f aca="false">INDEX(Shelter_Design!$O$2:$O$41,MATCH($B5,Shelter_Design!$A$2:$A$41,0))</f>
        <v>100</v>
      </c>
      <c r="S5" s="3" t="n">
        <f aca="false">(O5/1000)/N5</f>
        <v>1.07142857142857</v>
      </c>
      <c r="T5" s="3" t="n">
        <f aca="false">IF(OR(P5="None",Q5=0),0,(R5/1000)/Q5)</f>
        <v>4</v>
      </c>
      <c r="U5" s="3" t="n">
        <v>0.17</v>
      </c>
      <c r="V5" s="3" t="n">
        <f aca="false">S5+T5+U5</f>
        <v>5.24142857142857</v>
      </c>
      <c r="W5" s="3" t="n">
        <f aca="false">1/V5</f>
        <v>0.190787680566912</v>
      </c>
      <c r="X5" s="3" t="n">
        <f aca="false">INDEX(Shelter_Design!$R$2:$R$41,MATCH($B5,Shelter_Design!$A$2:$A$41,0))</f>
        <v>27.6</v>
      </c>
      <c r="Y5" s="3" t="n">
        <f aca="false">INDEX(Shelter_Design!$P$2:$P$41,MATCH($B5,Shelter_Design!$A$2:$A$41,0))</f>
        <v>1.2</v>
      </c>
      <c r="Z5" s="3" t="n">
        <f aca="false">INDEX(Shelter_Design!$G$2:$G$41,MATCH($B5,Shelter_Design!$A$2:$A$41,0))</f>
        <v>21.6</v>
      </c>
      <c r="AA5" s="3" t="n">
        <f aca="false">INDEX(Shelter_Design!$S$2:$S$41,MATCH($B5,Shelter_Design!$A$2:$A$41,0))</f>
        <v>0.0416666666666667</v>
      </c>
      <c r="AB5" s="3" t="n">
        <f aca="false">INDEX(Shelter_Design!$Y$2:$Y$41,MATCH($B5,Shelter_Design!$A$2:$A$41,0))</f>
        <v>2</v>
      </c>
      <c r="AC5" s="3" t="str">
        <f aca="false">INDEX(Shelter_Design!$Z$2:$Z$41,MATCH($B5,Shelter_Design!$A$2:$A$41,0))</f>
        <v>Resting / sleeping</v>
      </c>
      <c r="AD5" s="3" t="n">
        <f aca="false">INDEX(Shelter_Design!$AA$2:$AA$41,MATCH($B5,Shelter_Design!$A$2:$A$41,0))</f>
        <v>1.75</v>
      </c>
      <c r="AE5" s="3" t="s">
        <v>304</v>
      </c>
    </row>
    <row r="6" customFormat="false" ht="15" hidden="false" customHeight="true" outlineLevel="0" collapsed="false">
      <c r="A6" s="3" t="s">
        <v>308</v>
      </c>
      <c r="B6" s="3" t="s">
        <v>221</v>
      </c>
      <c r="C6" s="3" t="s">
        <v>222</v>
      </c>
      <c r="D6" s="3" t="s">
        <v>303</v>
      </c>
      <c r="E6" s="3" t="s">
        <v>20</v>
      </c>
      <c r="F6" s="3" t="s">
        <v>51</v>
      </c>
      <c r="G6" s="3" t="str">
        <f aca="false">E6&amp;"-"&amp;F6</f>
        <v>Leh-November</v>
      </c>
      <c r="H6" s="3" t="n">
        <f aca="false">INDEX(Weather_Data!$K$2:$K$73,MATCH($G6,Weather_Data!$J$2:$J$73,0))</f>
        <v>-1</v>
      </c>
      <c r="I6" s="3" t="n">
        <f aca="false">INDEX(Weather_Data!$L$2:$L$73,MATCH($G6,Weather_Data!$J$2:$J$73,0))</f>
        <v>27</v>
      </c>
      <c r="J6" s="3" t="n">
        <f aca="false">INDEX(Weather_Data!$M$2:$M$73,MATCH($G6,Weather_Data!$J$2:$J$73,0))</f>
        <v>2</v>
      </c>
      <c r="K6" s="3" t="n">
        <f aca="false">INDEX(Weather_Data!$P$2:$P$73,MATCH($G6,Weather_Data!$J$2:$J$73,0))</f>
        <v>175</v>
      </c>
      <c r="L6" s="3" t="n">
        <f aca="false">INDEX(Weather_Data!$Q$2:$Q$73,MATCH($G6,Weather_Data!$J$2:$J$73,0))</f>
        <v>2</v>
      </c>
      <c r="M6" s="3" t="str">
        <f aca="false">INDEX(Shelter_Design!$I$2:$I$41,MATCH($B6,Shelter_Design!$A$2:$A$41,0))</f>
        <v>M06</v>
      </c>
      <c r="N6" s="3" t="n">
        <f aca="false">IFERROR(INDEX(Material_Properties!$D$2:$D$21,MATCH(M6,Material_Properties!$A$2:$A$21,0)),1)</f>
        <v>0.14</v>
      </c>
      <c r="O6" s="3" t="n">
        <f aca="false">INDEX(Shelter_Design!$M$2:$M$41,MATCH($B6,Shelter_Design!$A$2:$A$41,0))</f>
        <v>150</v>
      </c>
      <c r="P6" s="3" t="str">
        <f aca="false">INDEX(Shelter_Design!$L$2:$L$41,MATCH($B6,Shelter_Design!$A$2:$A$41,0))</f>
        <v>M11</v>
      </c>
      <c r="Q6" s="3" t="n">
        <f aca="false">IF(P6="None",0,IFERROR(INDEX(Material_Properties!$D$2:$D$21,MATCH(P6,Material_Properties!$A$2:$A$21,0)),0))</f>
        <v>0.025</v>
      </c>
      <c r="R6" s="3" t="n">
        <f aca="false">INDEX(Shelter_Design!$O$2:$O$41,MATCH($B6,Shelter_Design!$A$2:$A$41,0))</f>
        <v>100</v>
      </c>
      <c r="S6" s="3" t="n">
        <f aca="false">(O6/1000)/N6</f>
        <v>1.07142857142857</v>
      </c>
      <c r="T6" s="3" t="n">
        <f aca="false">IF(OR(P6="None",Q6=0),0,(R6/1000)/Q6)</f>
        <v>4</v>
      </c>
      <c r="U6" s="3" t="n">
        <v>0.17</v>
      </c>
      <c r="V6" s="3" t="n">
        <f aca="false">S6+T6+U6</f>
        <v>5.24142857142857</v>
      </c>
      <c r="W6" s="3" t="n">
        <f aca="false">1/V6</f>
        <v>0.190787680566912</v>
      </c>
      <c r="X6" s="3" t="n">
        <f aca="false">INDEX(Shelter_Design!$R$2:$R$41,MATCH($B6,Shelter_Design!$A$2:$A$41,0))</f>
        <v>27.6</v>
      </c>
      <c r="Y6" s="3" t="n">
        <f aca="false">INDEX(Shelter_Design!$P$2:$P$41,MATCH($B6,Shelter_Design!$A$2:$A$41,0))</f>
        <v>1.2</v>
      </c>
      <c r="Z6" s="3" t="n">
        <f aca="false">INDEX(Shelter_Design!$G$2:$G$41,MATCH($B6,Shelter_Design!$A$2:$A$41,0))</f>
        <v>21.6</v>
      </c>
      <c r="AA6" s="3" t="n">
        <f aca="false">INDEX(Shelter_Design!$S$2:$S$41,MATCH($B6,Shelter_Design!$A$2:$A$41,0))</f>
        <v>0.0416666666666667</v>
      </c>
      <c r="AB6" s="3" t="n">
        <f aca="false">INDEX(Shelter_Design!$Y$2:$Y$41,MATCH($B6,Shelter_Design!$A$2:$A$41,0))</f>
        <v>2</v>
      </c>
      <c r="AC6" s="3" t="str">
        <f aca="false">INDEX(Shelter_Design!$Z$2:$Z$41,MATCH($B6,Shelter_Design!$A$2:$A$41,0))</f>
        <v>Resting / sleeping</v>
      </c>
      <c r="AD6" s="3" t="n">
        <f aca="false">INDEX(Shelter_Design!$AA$2:$AA$41,MATCH($B6,Shelter_Design!$A$2:$A$41,0))</f>
        <v>1.75</v>
      </c>
      <c r="AE6" s="3" t="s">
        <v>304</v>
      </c>
    </row>
    <row r="7" customFormat="false" ht="15" hidden="false" customHeight="true" outlineLevel="0" collapsed="false">
      <c r="A7" s="3" t="s">
        <v>309</v>
      </c>
      <c r="B7" s="3" t="s">
        <v>229</v>
      </c>
      <c r="C7" s="3" t="s">
        <v>222</v>
      </c>
      <c r="D7" s="3" t="s">
        <v>303</v>
      </c>
      <c r="E7" s="3" t="s">
        <v>20</v>
      </c>
      <c r="F7" s="3" t="s">
        <v>22</v>
      </c>
      <c r="G7" s="3" t="str">
        <f aca="false">E7&amp;"-"&amp;F7</f>
        <v>Leh-January</v>
      </c>
      <c r="H7" s="3" t="n">
        <f aca="false">INDEX(Weather_Data!$K$2:$K$73,MATCH($G7,Weather_Data!$J$2:$J$73,0))</f>
        <v>-8</v>
      </c>
      <c r="I7" s="3" t="n">
        <f aca="false">INDEX(Weather_Data!$L$2:$L$73,MATCH($G7,Weather_Data!$J$2:$J$73,0))</f>
        <v>25</v>
      </c>
      <c r="J7" s="3" t="n">
        <f aca="false">INDEX(Weather_Data!$M$2:$M$73,MATCH($G7,Weather_Data!$J$2:$J$73,0))</f>
        <v>2</v>
      </c>
      <c r="K7" s="3" t="n">
        <f aca="false">INDEX(Weather_Data!$P$2:$P$73,MATCH($G7,Weather_Data!$J$2:$J$73,0))</f>
        <v>166.666666666667</v>
      </c>
      <c r="L7" s="3" t="n">
        <f aca="false">INDEX(Weather_Data!$Q$2:$Q$73,MATCH($G7,Weather_Data!$J$2:$J$73,0))</f>
        <v>5</v>
      </c>
      <c r="M7" s="3" t="str">
        <f aca="false">INDEX(Shelter_Design!$I$2:$I$41,MATCH($B7,Shelter_Design!$A$2:$A$41,0))</f>
        <v>M06</v>
      </c>
      <c r="N7" s="3" t="n">
        <f aca="false">IFERROR(INDEX(Material_Properties!$D$2:$D$21,MATCH(M7,Material_Properties!$A$2:$A$21,0)),1)</f>
        <v>0.14</v>
      </c>
      <c r="O7" s="3" t="n">
        <f aca="false">INDEX(Shelter_Design!$M$2:$M$41,MATCH($B7,Shelter_Design!$A$2:$A$41,0))</f>
        <v>150</v>
      </c>
      <c r="P7" s="3" t="str">
        <f aca="false">INDEX(Shelter_Design!$L$2:$L$41,MATCH($B7,Shelter_Design!$A$2:$A$41,0))</f>
        <v>M11</v>
      </c>
      <c r="Q7" s="3" t="n">
        <f aca="false">IF(P7="None",0,IFERROR(INDEX(Material_Properties!$D$2:$D$21,MATCH(P7,Material_Properties!$A$2:$A$21,0)),0))</f>
        <v>0.025</v>
      </c>
      <c r="R7" s="3" t="n">
        <f aca="false">INDEX(Shelter_Design!$O$2:$O$41,MATCH($B7,Shelter_Design!$A$2:$A$41,0))</f>
        <v>100</v>
      </c>
      <c r="S7" s="3" t="n">
        <f aca="false">(O7/1000)/N7</f>
        <v>1.07142857142857</v>
      </c>
      <c r="T7" s="3" t="n">
        <f aca="false">IF(OR(P7="None",Q7=0),0,(R7/1000)/Q7)</f>
        <v>4</v>
      </c>
      <c r="U7" s="3" t="n">
        <v>0.17</v>
      </c>
      <c r="V7" s="3" t="n">
        <f aca="false">S7+T7+U7</f>
        <v>5.24142857142857</v>
      </c>
      <c r="W7" s="3" t="n">
        <f aca="false">1/V7</f>
        <v>0.190787680566912</v>
      </c>
      <c r="X7" s="3" t="n">
        <f aca="false">INDEX(Shelter_Design!$R$2:$R$41,MATCH($B7,Shelter_Design!$A$2:$A$41,0))</f>
        <v>45</v>
      </c>
      <c r="Y7" s="3" t="n">
        <f aca="false">INDEX(Shelter_Design!$P$2:$P$41,MATCH($B7,Shelter_Design!$A$2:$A$41,0))</f>
        <v>1.8</v>
      </c>
      <c r="Z7" s="3" t="n">
        <f aca="false">INDEX(Shelter_Design!$G$2:$G$41,MATCH($B7,Shelter_Design!$A$2:$A$41,0))</f>
        <v>52</v>
      </c>
      <c r="AA7" s="3" t="n">
        <f aca="false">INDEX(Shelter_Design!$S$2:$S$41,MATCH($B7,Shelter_Design!$A$2:$A$41,0))</f>
        <v>0.0384615384615385</v>
      </c>
      <c r="AB7" s="3" t="n">
        <f aca="false">INDEX(Shelter_Design!$Y$2:$Y$41,MATCH($B7,Shelter_Design!$A$2:$A$41,0))</f>
        <v>5</v>
      </c>
      <c r="AC7" s="3" t="str">
        <f aca="false">INDEX(Shelter_Design!$Z$2:$Z$41,MATCH($B7,Shelter_Design!$A$2:$A$41,0))</f>
        <v>Resting / sleeping</v>
      </c>
      <c r="AD7" s="3" t="n">
        <f aca="false">INDEX(Shelter_Design!$AA$2:$AA$41,MATCH($B7,Shelter_Design!$A$2:$A$41,0))</f>
        <v>1.75</v>
      </c>
      <c r="AE7" s="3" t="s">
        <v>304</v>
      </c>
    </row>
    <row r="8" customFormat="false" ht="15" hidden="false" customHeight="true" outlineLevel="0" collapsed="false">
      <c r="A8" s="3" t="s">
        <v>310</v>
      </c>
      <c r="B8" s="3" t="s">
        <v>229</v>
      </c>
      <c r="C8" s="3" t="s">
        <v>222</v>
      </c>
      <c r="D8" s="3" t="s">
        <v>303</v>
      </c>
      <c r="E8" s="3" t="s">
        <v>20</v>
      </c>
      <c r="F8" s="3" t="s">
        <v>33</v>
      </c>
      <c r="G8" s="3" t="str">
        <f aca="false">E8&amp;"-"&amp;F8</f>
        <v>Leh-April</v>
      </c>
      <c r="H8" s="3" t="n">
        <f aca="false">INDEX(Weather_Data!$K$2:$K$73,MATCH($G8,Weather_Data!$J$2:$J$73,0))</f>
        <v>7</v>
      </c>
      <c r="I8" s="3" t="n">
        <f aca="false">INDEX(Weather_Data!$L$2:$L$73,MATCH($G8,Weather_Data!$J$2:$J$73,0))</f>
        <v>30</v>
      </c>
      <c r="J8" s="3" t="n">
        <f aca="false">INDEX(Weather_Data!$M$2:$M$73,MATCH($G8,Weather_Data!$J$2:$J$73,0))</f>
        <v>4</v>
      </c>
      <c r="K8" s="3" t="n">
        <f aca="false">INDEX(Weather_Data!$P$2:$P$73,MATCH($G8,Weather_Data!$J$2:$J$73,0))</f>
        <v>270.833333333333</v>
      </c>
      <c r="L8" s="3" t="n">
        <f aca="false">INDEX(Weather_Data!$Q$2:$Q$73,MATCH($G8,Weather_Data!$J$2:$J$73,0))</f>
        <v>10</v>
      </c>
      <c r="M8" s="3" t="str">
        <f aca="false">INDEX(Shelter_Design!$I$2:$I$41,MATCH($B8,Shelter_Design!$A$2:$A$41,0))</f>
        <v>M06</v>
      </c>
      <c r="N8" s="3" t="n">
        <f aca="false">IFERROR(INDEX(Material_Properties!$D$2:$D$21,MATCH(M8,Material_Properties!$A$2:$A$21,0)),1)</f>
        <v>0.14</v>
      </c>
      <c r="O8" s="3" t="n">
        <f aca="false">INDEX(Shelter_Design!$M$2:$M$41,MATCH($B8,Shelter_Design!$A$2:$A$41,0))</f>
        <v>150</v>
      </c>
      <c r="P8" s="3" t="str">
        <f aca="false">INDEX(Shelter_Design!$L$2:$L$41,MATCH($B8,Shelter_Design!$A$2:$A$41,0))</f>
        <v>M11</v>
      </c>
      <c r="Q8" s="3" t="n">
        <f aca="false">IF(P8="None",0,IFERROR(INDEX(Material_Properties!$D$2:$D$21,MATCH(P8,Material_Properties!$A$2:$A$21,0)),0))</f>
        <v>0.025</v>
      </c>
      <c r="R8" s="3" t="n">
        <f aca="false">INDEX(Shelter_Design!$O$2:$O$41,MATCH($B8,Shelter_Design!$A$2:$A$41,0))</f>
        <v>100</v>
      </c>
      <c r="S8" s="3" t="n">
        <f aca="false">(O8/1000)/N8</f>
        <v>1.07142857142857</v>
      </c>
      <c r="T8" s="3" t="n">
        <f aca="false">IF(OR(P8="None",Q8=0),0,(R8/1000)/Q8)</f>
        <v>4</v>
      </c>
      <c r="U8" s="3" t="n">
        <v>0.17</v>
      </c>
      <c r="V8" s="3" t="n">
        <f aca="false">S8+T8+U8</f>
        <v>5.24142857142857</v>
      </c>
      <c r="W8" s="3" t="n">
        <f aca="false">1/V8</f>
        <v>0.190787680566912</v>
      </c>
      <c r="X8" s="3" t="n">
        <f aca="false">INDEX(Shelter_Design!$R$2:$R$41,MATCH($B8,Shelter_Design!$A$2:$A$41,0))</f>
        <v>45</v>
      </c>
      <c r="Y8" s="3" t="n">
        <f aca="false">INDEX(Shelter_Design!$P$2:$P$41,MATCH($B8,Shelter_Design!$A$2:$A$41,0))</f>
        <v>1.8</v>
      </c>
      <c r="Z8" s="3" t="n">
        <f aca="false">INDEX(Shelter_Design!$G$2:$G$41,MATCH($B8,Shelter_Design!$A$2:$A$41,0))</f>
        <v>52</v>
      </c>
      <c r="AA8" s="3" t="n">
        <f aca="false">INDEX(Shelter_Design!$S$2:$S$41,MATCH($B8,Shelter_Design!$A$2:$A$41,0))</f>
        <v>0.0384615384615385</v>
      </c>
      <c r="AB8" s="3" t="n">
        <f aca="false">INDEX(Shelter_Design!$Y$2:$Y$41,MATCH($B8,Shelter_Design!$A$2:$A$41,0))</f>
        <v>5</v>
      </c>
      <c r="AC8" s="3" t="str">
        <f aca="false">INDEX(Shelter_Design!$Z$2:$Z$41,MATCH($B8,Shelter_Design!$A$2:$A$41,0))</f>
        <v>Resting / sleeping</v>
      </c>
      <c r="AD8" s="3" t="n">
        <f aca="false">INDEX(Shelter_Design!$AA$2:$AA$41,MATCH($B8,Shelter_Design!$A$2:$A$41,0))</f>
        <v>1.75</v>
      </c>
      <c r="AE8" s="3" t="s">
        <v>304</v>
      </c>
    </row>
    <row r="9" customFormat="false" ht="15" hidden="false" customHeight="true" outlineLevel="0" collapsed="false">
      <c r="A9" s="3" t="s">
        <v>311</v>
      </c>
      <c r="B9" s="3" t="s">
        <v>229</v>
      </c>
      <c r="C9" s="3" t="s">
        <v>222</v>
      </c>
      <c r="D9" s="3" t="s">
        <v>303</v>
      </c>
      <c r="E9" s="3" t="s">
        <v>20</v>
      </c>
      <c r="F9" s="3" t="s">
        <v>42</v>
      </c>
      <c r="G9" s="3" t="str">
        <f aca="false">E9&amp;"-"&amp;F9</f>
        <v>Leh-July</v>
      </c>
      <c r="H9" s="3" t="n">
        <f aca="false">INDEX(Weather_Data!$K$2:$K$73,MATCH($G9,Weather_Data!$J$2:$J$73,0))</f>
        <v>19</v>
      </c>
      <c r="I9" s="3" t="n">
        <f aca="false">INDEX(Weather_Data!$L$2:$L$73,MATCH($G9,Weather_Data!$J$2:$J$73,0))</f>
        <v>38</v>
      </c>
      <c r="J9" s="3" t="n">
        <f aca="false">INDEX(Weather_Data!$M$2:$M$73,MATCH($G9,Weather_Data!$J$2:$J$73,0))</f>
        <v>3</v>
      </c>
      <c r="K9" s="3" t="n">
        <f aca="false">INDEX(Weather_Data!$P$2:$P$73,MATCH($G9,Weather_Data!$J$2:$J$73,0))</f>
        <v>283.333333333333</v>
      </c>
      <c r="L9" s="3" t="n">
        <f aca="false">INDEX(Weather_Data!$Q$2:$Q$73,MATCH($G9,Weather_Data!$J$2:$J$73,0))</f>
        <v>15</v>
      </c>
      <c r="M9" s="3" t="str">
        <f aca="false">INDEX(Shelter_Design!$I$2:$I$41,MATCH($B9,Shelter_Design!$A$2:$A$41,0))</f>
        <v>M06</v>
      </c>
      <c r="N9" s="3" t="n">
        <f aca="false">IFERROR(INDEX(Material_Properties!$D$2:$D$21,MATCH(M9,Material_Properties!$A$2:$A$21,0)),1)</f>
        <v>0.14</v>
      </c>
      <c r="O9" s="3" t="n">
        <f aca="false">INDEX(Shelter_Design!$M$2:$M$41,MATCH($B9,Shelter_Design!$A$2:$A$41,0))</f>
        <v>150</v>
      </c>
      <c r="P9" s="3" t="str">
        <f aca="false">INDEX(Shelter_Design!$L$2:$L$41,MATCH($B9,Shelter_Design!$A$2:$A$41,0))</f>
        <v>M11</v>
      </c>
      <c r="Q9" s="3" t="n">
        <f aca="false">IF(P9="None",0,IFERROR(INDEX(Material_Properties!$D$2:$D$21,MATCH(P9,Material_Properties!$A$2:$A$21,0)),0))</f>
        <v>0.025</v>
      </c>
      <c r="R9" s="3" t="n">
        <f aca="false">INDEX(Shelter_Design!$O$2:$O$41,MATCH($B9,Shelter_Design!$A$2:$A$41,0))</f>
        <v>100</v>
      </c>
      <c r="S9" s="3" t="n">
        <f aca="false">(O9/1000)/N9</f>
        <v>1.07142857142857</v>
      </c>
      <c r="T9" s="3" t="n">
        <f aca="false">IF(OR(P9="None",Q9=0),0,(R9/1000)/Q9)</f>
        <v>4</v>
      </c>
      <c r="U9" s="3" t="n">
        <v>0.17</v>
      </c>
      <c r="V9" s="3" t="n">
        <f aca="false">S9+T9+U9</f>
        <v>5.24142857142857</v>
      </c>
      <c r="W9" s="3" t="n">
        <f aca="false">1/V9</f>
        <v>0.190787680566912</v>
      </c>
      <c r="X9" s="3" t="n">
        <f aca="false">INDEX(Shelter_Design!$R$2:$R$41,MATCH($B9,Shelter_Design!$A$2:$A$41,0))</f>
        <v>45</v>
      </c>
      <c r="Y9" s="3" t="n">
        <f aca="false">INDEX(Shelter_Design!$P$2:$P$41,MATCH($B9,Shelter_Design!$A$2:$A$41,0))</f>
        <v>1.8</v>
      </c>
      <c r="Z9" s="3" t="n">
        <f aca="false">INDEX(Shelter_Design!$G$2:$G$41,MATCH($B9,Shelter_Design!$A$2:$A$41,0))</f>
        <v>52</v>
      </c>
      <c r="AA9" s="3" t="n">
        <f aca="false">INDEX(Shelter_Design!$S$2:$S$41,MATCH($B9,Shelter_Design!$A$2:$A$41,0))</f>
        <v>0.0384615384615385</v>
      </c>
      <c r="AB9" s="3" t="n">
        <f aca="false">INDEX(Shelter_Design!$Y$2:$Y$41,MATCH($B9,Shelter_Design!$A$2:$A$41,0))</f>
        <v>5</v>
      </c>
      <c r="AC9" s="3" t="str">
        <f aca="false">INDEX(Shelter_Design!$Z$2:$Z$41,MATCH($B9,Shelter_Design!$A$2:$A$41,0))</f>
        <v>Resting / sleeping</v>
      </c>
      <c r="AD9" s="3" t="n">
        <f aca="false">INDEX(Shelter_Design!$AA$2:$AA$41,MATCH($B9,Shelter_Design!$A$2:$A$41,0))</f>
        <v>1.75</v>
      </c>
      <c r="AE9" s="3" t="s">
        <v>304</v>
      </c>
    </row>
    <row r="10" customFormat="false" ht="15" hidden="false" customHeight="true" outlineLevel="0" collapsed="false">
      <c r="A10" s="3" t="s">
        <v>312</v>
      </c>
      <c r="B10" s="3" t="s">
        <v>229</v>
      </c>
      <c r="C10" s="3" t="s">
        <v>222</v>
      </c>
      <c r="D10" s="3" t="s">
        <v>303</v>
      </c>
      <c r="E10" s="3" t="s">
        <v>20</v>
      </c>
      <c r="F10" s="3" t="s">
        <v>46</v>
      </c>
      <c r="G10" s="3" t="str">
        <f aca="false">E10&amp;"-"&amp;F10</f>
        <v>Leh-September</v>
      </c>
      <c r="H10" s="3" t="n">
        <f aca="false">INDEX(Weather_Data!$K$2:$K$73,MATCH($G10,Weather_Data!$J$2:$J$73,0))</f>
        <v>14</v>
      </c>
      <c r="I10" s="3" t="n">
        <f aca="false">INDEX(Weather_Data!$L$2:$L$73,MATCH($G10,Weather_Data!$J$2:$J$73,0))</f>
        <v>35</v>
      </c>
      <c r="J10" s="3" t="n">
        <f aca="false">INDEX(Weather_Data!$M$2:$M$73,MATCH($G10,Weather_Data!$J$2:$J$73,0))</f>
        <v>3</v>
      </c>
      <c r="K10" s="3" t="n">
        <f aca="false">INDEX(Weather_Data!$P$2:$P$73,MATCH($G10,Weather_Data!$J$2:$J$73,0))</f>
        <v>250</v>
      </c>
      <c r="L10" s="3" t="n">
        <f aca="false">INDEX(Weather_Data!$Q$2:$Q$73,MATCH($G10,Weather_Data!$J$2:$J$73,0))</f>
        <v>8</v>
      </c>
      <c r="M10" s="3" t="str">
        <f aca="false">INDEX(Shelter_Design!$I$2:$I$41,MATCH($B10,Shelter_Design!$A$2:$A$41,0))</f>
        <v>M06</v>
      </c>
      <c r="N10" s="3" t="n">
        <f aca="false">IFERROR(INDEX(Material_Properties!$D$2:$D$21,MATCH(M10,Material_Properties!$A$2:$A$21,0)),1)</f>
        <v>0.14</v>
      </c>
      <c r="O10" s="3" t="n">
        <f aca="false">INDEX(Shelter_Design!$M$2:$M$41,MATCH($B10,Shelter_Design!$A$2:$A$41,0))</f>
        <v>150</v>
      </c>
      <c r="P10" s="3" t="str">
        <f aca="false">INDEX(Shelter_Design!$L$2:$L$41,MATCH($B10,Shelter_Design!$A$2:$A$41,0))</f>
        <v>M11</v>
      </c>
      <c r="Q10" s="3" t="n">
        <f aca="false">IF(P10="None",0,IFERROR(INDEX(Material_Properties!$D$2:$D$21,MATCH(P10,Material_Properties!$A$2:$A$21,0)),0))</f>
        <v>0.025</v>
      </c>
      <c r="R10" s="3" t="n">
        <f aca="false">INDEX(Shelter_Design!$O$2:$O$41,MATCH($B10,Shelter_Design!$A$2:$A$41,0))</f>
        <v>100</v>
      </c>
      <c r="S10" s="3" t="n">
        <f aca="false">(O10/1000)/N10</f>
        <v>1.07142857142857</v>
      </c>
      <c r="T10" s="3" t="n">
        <f aca="false">IF(OR(P10="None",Q10=0),0,(R10/1000)/Q10)</f>
        <v>4</v>
      </c>
      <c r="U10" s="3" t="n">
        <v>0.17</v>
      </c>
      <c r="V10" s="3" t="n">
        <f aca="false">S10+T10+U10</f>
        <v>5.24142857142857</v>
      </c>
      <c r="W10" s="3" t="n">
        <f aca="false">1/V10</f>
        <v>0.190787680566912</v>
      </c>
      <c r="X10" s="3" t="n">
        <f aca="false">INDEX(Shelter_Design!$R$2:$R$41,MATCH($B10,Shelter_Design!$A$2:$A$41,0))</f>
        <v>45</v>
      </c>
      <c r="Y10" s="3" t="n">
        <f aca="false">INDEX(Shelter_Design!$P$2:$P$41,MATCH($B10,Shelter_Design!$A$2:$A$41,0))</f>
        <v>1.8</v>
      </c>
      <c r="Z10" s="3" t="n">
        <f aca="false">INDEX(Shelter_Design!$G$2:$G$41,MATCH($B10,Shelter_Design!$A$2:$A$41,0))</f>
        <v>52</v>
      </c>
      <c r="AA10" s="3" t="n">
        <f aca="false">INDEX(Shelter_Design!$S$2:$S$41,MATCH($B10,Shelter_Design!$A$2:$A$41,0))</f>
        <v>0.0384615384615385</v>
      </c>
      <c r="AB10" s="3" t="n">
        <f aca="false">INDEX(Shelter_Design!$Y$2:$Y$41,MATCH($B10,Shelter_Design!$A$2:$A$41,0))</f>
        <v>5</v>
      </c>
      <c r="AC10" s="3" t="str">
        <f aca="false">INDEX(Shelter_Design!$Z$2:$Z$41,MATCH($B10,Shelter_Design!$A$2:$A$41,0))</f>
        <v>Resting / sleeping</v>
      </c>
      <c r="AD10" s="3" t="n">
        <f aca="false">INDEX(Shelter_Design!$AA$2:$AA$41,MATCH($B10,Shelter_Design!$A$2:$A$41,0))</f>
        <v>1.75</v>
      </c>
      <c r="AE10" s="3" t="s">
        <v>304</v>
      </c>
    </row>
    <row r="11" customFormat="false" ht="15" hidden="false" customHeight="true" outlineLevel="0" collapsed="false">
      <c r="A11" s="3" t="s">
        <v>313</v>
      </c>
      <c r="B11" s="3" t="s">
        <v>229</v>
      </c>
      <c r="C11" s="3" t="s">
        <v>222</v>
      </c>
      <c r="D11" s="3" t="s">
        <v>303</v>
      </c>
      <c r="E11" s="3" t="s">
        <v>20</v>
      </c>
      <c r="F11" s="3" t="s">
        <v>51</v>
      </c>
      <c r="G11" s="3" t="str">
        <f aca="false">E11&amp;"-"&amp;F11</f>
        <v>Leh-November</v>
      </c>
      <c r="H11" s="3" t="n">
        <f aca="false">INDEX(Weather_Data!$K$2:$K$73,MATCH($G11,Weather_Data!$J$2:$J$73,0))</f>
        <v>-1</v>
      </c>
      <c r="I11" s="3" t="n">
        <f aca="false">INDEX(Weather_Data!$L$2:$L$73,MATCH($G11,Weather_Data!$J$2:$J$73,0))</f>
        <v>27</v>
      </c>
      <c r="J11" s="3" t="n">
        <f aca="false">INDEX(Weather_Data!$M$2:$M$73,MATCH($G11,Weather_Data!$J$2:$J$73,0))</f>
        <v>2</v>
      </c>
      <c r="K11" s="3" t="n">
        <f aca="false">INDEX(Weather_Data!$P$2:$P$73,MATCH($G11,Weather_Data!$J$2:$J$73,0))</f>
        <v>175</v>
      </c>
      <c r="L11" s="3" t="n">
        <f aca="false">INDEX(Weather_Data!$Q$2:$Q$73,MATCH($G11,Weather_Data!$J$2:$J$73,0))</f>
        <v>2</v>
      </c>
      <c r="M11" s="3" t="str">
        <f aca="false">INDEX(Shelter_Design!$I$2:$I$41,MATCH($B11,Shelter_Design!$A$2:$A$41,0))</f>
        <v>M06</v>
      </c>
      <c r="N11" s="3" t="n">
        <f aca="false">IFERROR(INDEX(Material_Properties!$D$2:$D$21,MATCH(M11,Material_Properties!$A$2:$A$21,0)),1)</f>
        <v>0.14</v>
      </c>
      <c r="O11" s="3" t="n">
        <f aca="false">INDEX(Shelter_Design!$M$2:$M$41,MATCH($B11,Shelter_Design!$A$2:$A$41,0))</f>
        <v>150</v>
      </c>
      <c r="P11" s="3" t="str">
        <f aca="false">INDEX(Shelter_Design!$L$2:$L$41,MATCH($B11,Shelter_Design!$A$2:$A$41,0))</f>
        <v>M11</v>
      </c>
      <c r="Q11" s="3" t="n">
        <f aca="false">IF(P11="None",0,IFERROR(INDEX(Material_Properties!$D$2:$D$21,MATCH(P11,Material_Properties!$A$2:$A$21,0)),0))</f>
        <v>0.025</v>
      </c>
      <c r="R11" s="3" t="n">
        <f aca="false">INDEX(Shelter_Design!$O$2:$O$41,MATCH($B11,Shelter_Design!$A$2:$A$41,0))</f>
        <v>100</v>
      </c>
      <c r="S11" s="3" t="n">
        <f aca="false">(O11/1000)/N11</f>
        <v>1.07142857142857</v>
      </c>
      <c r="T11" s="3" t="n">
        <f aca="false">IF(OR(P11="None",Q11=0),0,(R11/1000)/Q11)</f>
        <v>4</v>
      </c>
      <c r="U11" s="3" t="n">
        <v>0.17</v>
      </c>
      <c r="V11" s="3" t="n">
        <f aca="false">S11+T11+U11</f>
        <v>5.24142857142857</v>
      </c>
      <c r="W11" s="3" t="n">
        <f aca="false">1/V11</f>
        <v>0.190787680566912</v>
      </c>
      <c r="X11" s="3" t="n">
        <f aca="false">INDEX(Shelter_Design!$R$2:$R$41,MATCH($B11,Shelter_Design!$A$2:$A$41,0))</f>
        <v>45</v>
      </c>
      <c r="Y11" s="3" t="n">
        <f aca="false">INDEX(Shelter_Design!$P$2:$P$41,MATCH($B11,Shelter_Design!$A$2:$A$41,0))</f>
        <v>1.8</v>
      </c>
      <c r="Z11" s="3" t="n">
        <f aca="false">INDEX(Shelter_Design!$G$2:$G$41,MATCH($B11,Shelter_Design!$A$2:$A$41,0))</f>
        <v>52</v>
      </c>
      <c r="AA11" s="3" t="n">
        <f aca="false">INDEX(Shelter_Design!$S$2:$S$41,MATCH($B11,Shelter_Design!$A$2:$A$41,0))</f>
        <v>0.0384615384615385</v>
      </c>
      <c r="AB11" s="3" t="n">
        <f aca="false">INDEX(Shelter_Design!$Y$2:$Y$41,MATCH($B11,Shelter_Design!$A$2:$A$41,0))</f>
        <v>5</v>
      </c>
      <c r="AC11" s="3" t="str">
        <f aca="false">INDEX(Shelter_Design!$Z$2:$Z$41,MATCH($B11,Shelter_Design!$A$2:$A$41,0))</f>
        <v>Resting / sleeping</v>
      </c>
      <c r="AD11" s="3" t="n">
        <f aca="false">INDEX(Shelter_Design!$AA$2:$AA$41,MATCH($B11,Shelter_Design!$A$2:$A$41,0))</f>
        <v>1.75</v>
      </c>
      <c r="AE11" s="3" t="s">
        <v>304</v>
      </c>
    </row>
    <row r="12" customFormat="false" ht="15" hidden="false" customHeight="true" outlineLevel="0" collapsed="false">
      <c r="A12" s="3" t="s">
        <v>314</v>
      </c>
      <c r="B12" s="3" t="s">
        <v>230</v>
      </c>
      <c r="C12" s="3" t="s">
        <v>222</v>
      </c>
      <c r="D12" s="3" t="s">
        <v>303</v>
      </c>
      <c r="E12" s="3" t="s">
        <v>20</v>
      </c>
      <c r="F12" s="3" t="s">
        <v>22</v>
      </c>
      <c r="G12" s="3" t="str">
        <f aca="false">E12&amp;"-"&amp;F12</f>
        <v>Leh-January</v>
      </c>
      <c r="H12" s="3" t="n">
        <f aca="false">INDEX(Weather_Data!$K$2:$K$73,MATCH($G12,Weather_Data!$J$2:$J$73,0))</f>
        <v>-8</v>
      </c>
      <c r="I12" s="3" t="n">
        <f aca="false">INDEX(Weather_Data!$L$2:$L$73,MATCH($G12,Weather_Data!$J$2:$J$73,0))</f>
        <v>25</v>
      </c>
      <c r="J12" s="3" t="n">
        <f aca="false">INDEX(Weather_Data!$M$2:$M$73,MATCH($G12,Weather_Data!$J$2:$J$73,0))</f>
        <v>2</v>
      </c>
      <c r="K12" s="3" t="n">
        <f aca="false">INDEX(Weather_Data!$P$2:$P$73,MATCH($G12,Weather_Data!$J$2:$J$73,0))</f>
        <v>166.666666666667</v>
      </c>
      <c r="L12" s="3" t="n">
        <f aca="false">INDEX(Weather_Data!$Q$2:$Q$73,MATCH($G12,Weather_Data!$J$2:$J$73,0))</f>
        <v>5</v>
      </c>
      <c r="M12" s="3" t="str">
        <f aca="false">INDEX(Shelter_Design!$I$2:$I$41,MATCH($B12,Shelter_Design!$A$2:$A$41,0))</f>
        <v>M06</v>
      </c>
      <c r="N12" s="3" t="n">
        <f aca="false">IFERROR(INDEX(Material_Properties!$D$2:$D$21,MATCH(M12,Material_Properties!$A$2:$A$21,0)),1)</f>
        <v>0.14</v>
      </c>
      <c r="O12" s="3" t="n">
        <f aca="false">INDEX(Shelter_Design!$M$2:$M$41,MATCH($B12,Shelter_Design!$A$2:$A$41,0))</f>
        <v>150</v>
      </c>
      <c r="P12" s="3" t="str">
        <f aca="false">INDEX(Shelter_Design!$L$2:$L$41,MATCH($B12,Shelter_Design!$A$2:$A$41,0))</f>
        <v>M09</v>
      </c>
      <c r="Q12" s="3" t="n">
        <f aca="false">IF(P12="None",0,IFERROR(INDEX(Material_Properties!$D$2:$D$21,MATCH(P12,Material_Properties!$A$2:$A$21,0)),0))</f>
        <v>0.04</v>
      </c>
      <c r="R12" s="3" t="n">
        <f aca="false">INDEX(Shelter_Design!$O$2:$O$41,MATCH($B12,Shelter_Design!$A$2:$A$41,0))</f>
        <v>150</v>
      </c>
      <c r="S12" s="3" t="n">
        <f aca="false">(O12/1000)/N12</f>
        <v>1.07142857142857</v>
      </c>
      <c r="T12" s="3" t="n">
        <f aca="false">IF(OR(P12="None",Q12=0),0,(R12/1000)/Q12)</f>
        <v>3.75</v>
      </c>
      <c r="U12" s="3" t="n">
        <v>0.17</v>
      </c>
      <c r="V12" s="3" t="n">
        <f aca="false">S12+T12+U12</f>
        <v>4.99142857142857</v>
      </c>
      <c r="W12" s="3" t="n">
        <f aca="false">1/V12</f>
        <v>0.20034344590727</v>
      </c>
      <c r="X12" s="3" t="n">
        <f aca="false">INDEX(Shelter_Design!$R$2:$R$41,MATCH($B12,Shelter_Design!$A$2:$A$41,0))</f>
        <v>27.6</v>
      </c>
      <c r="Y12" s="3" t="n">
        <f aca="false">INDEX(Shelter_Design!$P$2:$P$41,MATCH($B12,Shelter_Design!$A$2:$A$41,0))</f>
        <v>1.2</v>
      </c>
      <c r="Z12" s="3" t="n">
        <f aca="false">INDEX(Shelter_Design!$G$2:$G$41,MATCH($B12,Shelter_Design!$A$2:$A$41,0))</f>
        <v>21.6</v>
      </c>
      <c r="AA12" s="3" t="n">
        <f aca="false">INDEX(Shelter_Design!$S$2:$S$41,MATCH($B12,Shelter_Design!$A$2:$A$41,0))</f>
        <v>0.0416666666666667</v>
      </c>
      <c r="AB12" s="3" t="n">
        <f aca="false">INDEX(Shelter_Design!$Y$2:$Y$41,MATCH($B12,Shelter_Design!$A$2:$A$41,0))</f>
        <v>2</v>
      </c>
      <c r="AC12" s="3" t="str">
        <f aca="false">INDEX(Shelter_Design!$Z$2:$Z$41,MATCH($B12,Shelter_Design!$A$2:$A$41,0))</f>
        <v>Resting / sleeping</v>
      </c>
      <c r="AD12" s="3" t="n">
        <f aca="false">INDEX(Shelter_Design!$AA$2:$AA$41,MATCH($B12,Shelter_Design!$A$2:$A$41,0))</f>
        <v>1.75</v>
      </c>
      <c r="AE12" s="3" t="s">
        <v>304</v>
      </c>
    </row>
    <row r="13" customFormat="false" ht="15" hidden="false" customHeight="true" outlineLevel="0" collapsed="false">
      <c r="A13" s="3" t="s">
        <v>315</v>
      </c>
      <c r="B13" s="3" t="s">
        <v>230</v>
      </c>
      <c r="C13" s="3" t="s">
        <v>222</v>
      </c>
      <c r="D13" s="3" t="s">
        <v>303</v>
      </c>
      <c r="E13" s="3" t="s">
        <v>20</v>
      </c>
      <c r="F13" s="3" t="s">
        <v>33</v>
      </c>
      <c r="G13" s="3" t="str">
        <f aca="false">E13&amp;"-"&amp;F13</f>
        <v>Leh-April</v>
      </c>
      <c r="H13" s="3" t="n">
        <f aca="false">INDEX(Weather_Data!$K$2:$K$73,MATCH($G13,Weather_Data!$J$2:$J$73,0))</f>
        <v>7</v>
      </c>
      <c r="I13" s="3" t="n">
        <f aca="false">INDEX(Weather_Data!$L$2:$L$73,MATCH($G13,Weather_Data!$J$2:$J$73,0))</f>
        <v>30</v>
      </c>
      <c r="J13" s="3" t="n">
        <f aca="false">INDEX(Weather_Data!$M$2:$M$73,MATCH($G13,Weather_Data!$J$2:$J$73,0))</f>
        <v>4</v>
      </c>
      <c r="K13" s="3" t="n">
        <f aca="false">INDEX(Weather_Data!$P$2:$P$73,MATCH($G13,Weather_Data!$J$2:$J$73,0))</f>
        <v>270.833333333333</v>
      </c>
      <c r="L13" s="3" t="n">
        <f aca="false">INDEX(Weather_Data!$Q$2:$Q$73,MATCH($G13,Weather_Data!$J$2:$J$73,0))</f>
        <v>10</v>
      </c>
      <c r="M13" s="3" t="str">
        <f aca="false">INDEX(Shelter_Design!$I$2:$I$41,MATCH($B13,Shelter_Design!$A$2:$A$41,0))</f>
        <v>M06</v>
      </c>
      <c r="N13" s="3" t="n">
        <f aca="false">IFERROR(INDEX(Material_Properties!$D$2:$D$21,MATCH(M13,Material_Properties!$A$2:$A$21,0)),1)</f>
        <v>0.14</v>
      </c>
      <c r="O13" s="3" t="n">
        <f aca="false">INDEX(Shelter_Design!$M$2:$M$41,MATCH($B13,Shelter_Design!$A$2:$A$41,0))</f>
        <v>150</v>
      </c>
      <c r="P13" s="3" t="str">
        <f aca="false">INDEX(Shelter_Design!$L$2:$L$41,MATCH($B13,Shelter_Design!$A$2:$A$41,0))</f>
        <v>M09</v>
      </c>
      <c r="Q13" s="3" t="n">
        <f aca="false">IF(P13="None",0,IFERROR(INDEX(Material_Properties!$D$2:$D$21,MATCH(P13,Material_Properties!$A$2:$A$21,0)),0))</f>
        <v>0.04</v>
      </c>
      <c r="R13" s="3" t="n">
        <f aca="false">INDEX(Shelter_Design!$O$2:$O$41,MATCH($B13,Shelter_Design!$A$2:$A$41,0))</f>
        <v>150</v>
      </c>
      <c r="S13" s="3" t="n">
        <f aca="false">(O13/1000)/N13</f>
        <v>1.07142857142857</v>
      </c>
      <c r="T13" s="3" t="n">
        <f aca="false">IF(OR(P13="None",Q13=0),0,(R13/1000)/Q13)</f>
        <v>3.75</v>
      </c>
      <c r="U13" s="3" t="n">
        <v>0.17</v>
      </c>
      <c r="V13" s="3" t="n">
        <f aca="false">S13+T13+U13</f>
        <v>4.99142857142857</v>
      </c>
      <c r="W13" s="3" t="n">
        <f aca="false">1/V13</f>
        <v>0.20034344590727</v>
      </c>
      <c r="X13" s="3" t="n">
        <f aca="false">INDEX(Shelter_Design!$R$2:$R$41,MATCH($B13,Shelter_Design!$A$2:$A$41,0))</f>
        <v>27.6</v>
      </c>
      <c r="Y13" s="3" t="n">
        <f aca="false">INDEX(Shelter_Design!$P$2:$P$41,MATCH($B13,Shelter_Design!$A$2:$A$41,0))</f>
        <v>1.2</v>
      </c>
      <c r="Z13" s="3" t="n">
        <f aca="false">INDEX(Shelter_Design!$G$2:$G$41,MATCH($B13,Shelter_Design!$A$2:$A$41,0))</f>
        <v>21.6</v>
      </c>
      <c r="AA13" s="3" t="n">
        <f aca="false">INDEX(Shelter_Design!$S$2:$S$41,MATCH($B13,Shelter_Design!$A$2:$A$41,0))</f>
        <v>0.0416666666666667</v>
      </c>
      <c r="AB13" s="3" t="n">
        <f aca="false">INDEX(Shelter_Design!$Y$2:$Y$41,MATCH($B13,Shelter_Design!$A$2:$A$41,0))</f>
        <v>2</v>
      </c>
      <c r="AC13" s="3" t="str">
        <f aca="false">INDEX(Shelter_Design!$Z$2:$Z$41,MATCH($B13,Shelter_Design!$A$2:$A$41,0))</f>
        <v>Resting / sleeping</v>
      </c>
      <c r="AD13" s="3" t="n">
        <f aca="false">INDEX(Shelter_Design!$AA$2:$AA$41,MATCH($B13,Shelter_Design!$A$2:$A$41,0))</f>
        <v>1.75</v>
      </c>
      <c r="AE13" s="3" t="s">
        <v>304</v>
      </c>
    </row>
    <row r="14" customFormat="false" ht="15" hidden="false" customHeight="true" outlineLevel="0" collapsed="false">
      <c r="A14" s="3" t="s">
        <v>316</v>
      </c>
      <c r="B14" s="3" t="s">
        <v>230</v>
      </c>
      <c r="C14" s="3" t="s">
        <v>222</v>
      </c>
      <c r="D14" s="3" t="s">
        <v>303</v>
      </c>
      <c r="E14" s="3" t="s">
        <v>20</v>
      </c>
      <c r="F14" s="3" t="s">
        <v>42</v>
      </c>
      <c r="G14" s="3" t="str">
        <f aca="false">E14&amp;"-"&amp;F14</f>
        <v>Leh-July</v>
      </c>
      <c r="H14" s="3" t="n">
        <f aca="false">INDEX(Weather_Data!$K$2:$K$73,MATCH($G14,Weather_Data!$J$2:$J$73,0))</f>
        <v>19</v>
      </c>
      <c r="I14" s="3" t="n">
        <f aca="false">INDEX(Weather_Data!$L$2:$L$73,MATCH($G14,Weather_Data!$J$2:$J$73,0))</f>
        <v>38</v>
      </c>
      <c r="J14" s="3" t="n">
        <f aca="false">INDEX(Weather_Data!$M$2:$M$73,MATCH($G14,Weather_Data!$J$2:$J$73,0))</f>
        <v>3</v>
      </c>
      <c r="K14" s="3" t="n">
        <f aca="false">INDEX(Weather_Data!$P$2:$P$73,MATCH($G14,Weather_Data!$J$2:$J$73,0))</f>
        <v>283.333333333333</v>
      </c>
      <c r="L14" s="3" t="n">
        <f aca="false">INDEX(Weather_Data!$Q$2:$Q$73,MATCH($G14,Weather_Data!$J$2:$J$73,0))</f>
        <v>15</v>
      </c>
      <c r="M14" s="3" t="str">
        <f aca="false">INDEX(Shelter_Design!$I$2:$I$41,MATCH($B14,Shelter_Design!$A$2:$A$41,0))</f>
        <v>M06</v>
      </c>
      <c r="N14" s="3" t="n">
        <f aca="false">IFERROR(INDEX(Material_Properties!$D$2:$D$21,MATCH(M14,Material_Properties!$A$2:$A$21,0)),1)</f>
        <v>0.14</v>
      </c>
      <c r="O14" s="3" t="n">
        <f aca="false">INDEX(Shelter_Design!$M$2:$M$41,MATCH($B14,Shelter_Design!$A$2:$A$41,0))</f>
        <v>150</v>
      </c>
      <c r="P14" s="3" t="str">
        <f aca="false">INDEX(Shelter_Design!$L$2:$L$41,MATCH($B14,Shelter_Design!$A$2:$A$41,0))</f>
        <v>M09</v>
      </c>
      <c r="Q14" s="3" t="n">
        <f aca="false">IF(P14="None",0,IFERROR(INDEX(Material_Properties!$D$2:$D$21,MATCH(P14,Material_Properties!$A$2:$A$21,0)),0))</f>
        <v>0.04</v>
      </c>
      <c r="R14" s="3" t="n">
        <f aca="false">INDEX(Shelter_Design!$O$2:$O$41,MATCH($B14,Shelter_Design!$A$2:$A$41,0))</f>
        <v>150</v>
      </c>
      <c r="S14" s="3" t="n">
        <f aca="false">(O14/1000)/N14</f>
        <v>1.07142857142857</v>
      </c>
      <c r="T14" s="3" t="n">
        <f aca="false">IF(OR(P14="None",Q14=0),0,(R14/1000)/Q14)</f>
        <v>3.75</v>
      </c>
      <c r="U14" s="3" t="n">
        <v>0.17</v>
      </c>
      <c r="V14" s="3" t="n">
        <f aca="false">S14+T14+U14</f>
        <v>4.99142857142857</v>
      </c>
      <c r="W14" s="3" t="n">
        <f aca="false">1/V14</f>
        <v>0.20034344590727</v>
      </c>
      <c r="X14" s="3" t="n">
        <f aca="false">INDEX(Shelter_Design!$R$2:$R$41,MATCH($B14,Shelter_Design!$A$2:$A$41,0))</f>
        <v>27.6</v>
      </c>
      <c r="Y14" s="3" t="n">
        <f aca="false">INDEX(Shelter_Design!$P$2:$P$41,MATCH($B14,Shelter_Design!$A$2:$A$41,0))</f>
        <v>1.2</v>
      </c>
      <c r="Z14" s="3" t="n">
        <f aca="false">INDEX(Shelter_Design!$G$2:$G$41,MATCH($B14,Shelter_Design!$A$2:$A$41,0))</f>
        <v>21.6</v>
      </c>
      <c r="AA14" s="3" t="n">
        <f aca="false">INDEX(Shelter_Design!$S$2:$S$41,MATCH($B14,Shelter_Design!$A$2:$A$41,0))</f>
        <v>0.0416666666666667</v>
      </c>
      <c r="AB14" s="3" t="n">
        <f aca="false">INDEX(Shelter_Design!$Y$2:$Y$41,MATCH($B14,Shelter_Design!$A$2:$A$41,0))</f>
        <v>2</v>
      </c>
      <c r="AC14" s="3" t="str">
        <f aca="false">INDEX(Shelter_Design!$Z$2:$Z$41,MATCH($B14,Shelter_Design!$A$2:$A$41,0))</f>
        <v>Resting / sleeping</v>
      </c>
      <c r="AD14" s="3" t="n">
        <f aca="false">INDEX(Shelter_Design!$AA$2:$AA$41,MATCH($B14,Shelter_Design!$A$2:$A$41,0))</f>
        <v>1.75</v>
      </c>
      <c r="AE14" s="3" t="s">
        <v>304</v>
      </c>
    </row>
    <row r="15" customFormat="false" ht="15" hidden="false" customHeight="true" outlineLevel="0" collapsed="false">
      <c r="A15" s="3" t="s">
        <v>317</v>
      </c>
      <c r="B15" s="3" t="s">
        <v>230</v>
      </c>
      <c r="C15" s="3" t="s">
        <v>222</v>
      </c>
      <c r="D15" s="3" t="s">
        <v>303</v>
      </c>
      <c r="E15" s="3" t="s">
        <v>20</v>
      </c>
      <c r="F15" s="3" t="s">
        <v>46</v>
      </c>
      <c r="G15" s="3" t="str">
        <f aca="false">E15&amp;"-"&amp;F15</f>
        <v>Leh-September</v>
      </c>
      <c r="H15" s="3" t="n">
        <f aca="false">INDEX(Weather_Data!$K$2:$K$73,MATCH($G15,Weather_Data!$J$2:$J$73,0))</f>
        <v>14</v>
      </c>
      <c r="I15" s="3" t="n">
        <f aca="false">INDEX(Weather_Data!$L$2:$L$73,MATCH($G15,Weather_Data!$J$2:$J$73,0))</f>
        <v>35</v>
      </c>
      <c r="J15" s="3" t="n">
        <f aca="false">INDEX(Weather_Data!$M$2:$M$73,MATCH($G15,Weather_Data!$J$2:$J$73,0))</f>
        <v>3</v>
      </c>
      <c r="K15" s="3" t="n">
        <f aca="false">INDEX(Weather_Data!$P$2:$P$73,MATCH($G15,Weather_Data!$J$2:$J$73,0))</f>
        <v>250</v>
      </c>
      <c r="L15" s="3" t="n">
        <f aca="false">INDEX(Weather_Data!$Q$2:$Q$73,MATCH($G15,Weather_Data!$J$2:$J$73,0))</f>
        <v>8</v>
      </c>
      <c r="M15" s="3" t="str">
        <f aca="false">INDEX(Shelter_Design!$I$2:$I$41,MATCH($B15,Shelter_Design!$A$2:$A$41,0))</f>
        <v>M06</v>
      </c>
      <c r="N15" s="3" t="n">
        <f aca="false">IFERROR(INDEX(Material_Properties!$D$2:$D$21,MATCH(M15,Material_Properties!$A$2:$A$21,0)),1)</f>
        <v>0.14</v>
      </c>
      <c r="O15" s="3" t="n">
        <f aca="false">INDEX(Shelter_Design!$M$2:$M$41,MATCH($B15,Shelter_Design!$A$2:$A$41,0))</f>
        <v>150</v>
      </c>
      <c r="P15" s="3" t="str">
        <f aca="false">INDEX(Shelter_Design!$L$2:$L$41,MATCH($B15,Shelter_Design!$A$2:$A$41,0))</f>
        <v>M09</v>
      </c>
      <c r="Q15" s="3" t="n">
        <f aca="false">IF(P15="None",0,IFERROR(INDEX(Material_Properties!$D$2:$D$21,MATCH(P15,Material_Properties!$A$2:$A$21,0)),0))</f>
        <v>0.04</v>
      </c>
      <c r="R15" s="3" t="n">
        <f aca="false">INDEX(Shelter_Design!$O$2:$O$41,MATCH($B15,Shelter_Design!$A$2:$A$41,0))</f>
        <v>150</v>
      </c>
      <c r="S15" s="3" t="n">
        <f aca="false">(O15/1000)/N15</f>
        <v>1.07142857142857</v>
      </c>
      <c r="T15" s="3" t="n">
        <f aca="false">IF(OR(P15="None",Q15=0),0,(R15/1000)/Q15)</f>
        <v>3.75</v>
      </c>
      <c r="U15" s="3" t="n">
        <v>0.17</v>
      </c>
      <c r="V15" s="3" t="n">
        <f aca="false">S15+T15+U15</f>
        <v>4.99142857142857</v>
      </c>
      <c r="W15" s="3" t="n">
        <f aca="false">1/V15</f>
        <v>0.20034344590727</v>
      </c>
      <c r="X15" s="3" t="n">
        <f aca="false">INDEX(Shelter_Design!$R$2:$R$41,MATCH($B15,Shelter_Design!$A$2:$A$41,0))</f>
        <v>27.6</v>
      </c>
      <c r="Y15" s="3" t="n">
        <f aca="false">INDEX(Shelter_Design!$P$2:$P$41,MATCH($B15,Shelter_Design!$A$2:$A$41,0))</f>
        <v>1.2</v>
      </c>
      <c r="Z15" s="3" t="n">
        <f aca="false">INDEX(Shelter_Design!$G$2:$G$41,MATCH($B15,Shelter_Design!$A$2:$A$41,0))</f>
        <v>21.6</v>
      </c>
      <c r="AA15" s="3" t="n">
        <f aca="false">INDEX(Shelter_Design!$S$2:$S$41,MATCH($B15,Shelter_Design!$A$2:$A$41,0))</f>
        <v>0.0416666666666667</v>
      </c>
      <c r="AB15" s="3" t="n">
        <f aca="false">INDEX(Shelter_Design!$Y$2:$Y$41,MATCH($B15,Shelter_Design!$A$2:$A$41,0))</f>
        <v>2</v>
      </c>
      <c r="AC15" s="3" t="str">
        <f aca="false">INDEX(Shelter_Design!$Z$2:$Z$41,MATCH($B15,Shelter_Design!$A$2:$A$41,0))</f>
        <v>Resting / sleeping</v>
      </c>
      <c r="AD15" s="3" t="n">
        <f aca="false">INDEX(Shelter_Design!$AA$2:$AA$41,MATCH($B15,Shelter_Design!$A$2:$A$41,0))</f>
        <v>1.75</v>
      </c>
      <c r="AE15" s="3" t="s">
        <v>304</v>
      </c>
    </row>
    <row r="16" customFormat="false" ht="15" hidden="false" customHeight="true" outlineLevel="0" collapsed="false">
      <c r="A16" s="3" t="s">
        <v>318</v>
      </c>
      <c r="B16" s="3" t="s">
        <v>230</v>
      </c>
      <c r="C16" s="3" t="s">
        <v>222</v>
      </c>
      <c r="D16" s="3" t="s">
        <v>303</v>
      </c>
      <c r="E16" s="3" t="s">
        <v>20</v>
      </c>
      <c r="F16" s="3" t="s">
        <v>51</v>
      </c>
      <c r="G16" s="3" t="str">
        <f aca="false">E16&amp;"-"&amp;F16</f>
        <v>Leh-November</v>
      </c>
      <c r="H16" s="3" t="n">
        <f aca="false">INDEX(Weather_Data!$K$2:$K$73,MATCH($G16,Weather_Data!$J$2:$J$73,0))</f>
        <v>-1</v>
      </c>
      <c r="I16" s="3" t="n">
        <f aca="false">INDEX(Weather_Data!$L$2:$L$73,MATCH($G16,Weather_Data!$J$2:$J$73,0))</f>
        <v>27</v>
      </c>
      <c r="J16" s="3" t="n">
        <f aca="false">INDEX(Weather_Data!$M$2:$M$73,MATCH($G16,Weather_Data!$J$2:$J$73,0))</f>
        <v>2</v>
      </c>
      <c r="K16" s="3" t="n">
        <f aca="false">INDEX(Weather_Data!$P$2:$P$73,MATCH($G16,Weather_Data!$J$2:$J$73,0))</f>
        <v>175</v>
      </c>
      <c r="L16" s="3" t="n">
        <f aca="false">INDEX(Weather_Data!$Q$2:$Q$73,MATCH($G16,Weather_Data!$J$2:$J$73,0))</f>
        <v>2</v>
      </c>
      <c r="M16" s="3" t="str">
        <f aca="false">INDEX(Shelter_Design!$I$2:$I$41,MATCH($B16,Shelter_Design!$A$2:$A$41,0))</f>
        <v>M06</v>
      </c>
      <c r="N16" s="3" t="n">
        <f aca="false">IFERROR(INDEX(Material_Properties!$D$2:$D$21,MATCH(M16,Material_Properties!$A$2:$A$21,0)),1)</f>
        <v>0.14</v>
      </c>
      <c r="O16" s="3" t="n">
        <f aca="false">INDEX(Shelter_Design!$M$2:$M$41,MATCH($B16,Shelter_Design!$A$2:$A$41,0))</f>
        <v>150</v>
      </c>
      <c r="P16" s="3" t="str">
        <f aca="false">INDEX(Shelter_Design!$L$2:$L$41,MATCH($B16,Shelter_Design!$A$2:$A$41,0))</f>
        <v>M09</v>
      </c>
      <c r="Q16" s="3" t="n">
        <f aca="false">IF(P16="None",0,IFERROR(INDEX(Material_Properties!$D$2:$D$21,MATCH(P16,Material_Properties!$A$2:$A$21,0)),0))</f>
        <v>0.04</v>
      </c>
      <c r="R16" s="3" t="n">
        <f aca="false">INDEX(Shelter_Design!$O$2:$O$41,MATCH($B16,Shelter_Design!$A$2:$A$41,0))</f>
        <v>150</v>
      </c>
      <c r="S16" s="3" t="n">
        <f aca="false">(O16/1000)/N16</f>
        <v>1.07142857142857</v>
      </c>
      <c r="T16" s="3" t="n">
        <f aca="false">IF(OR(P16="None",Q16=0),0,(R16/1000)/Q16)</f>
        <v>3.75</v>
      </c>
      <c r="U16" s="3" t="n">
        <v>0.17</v>
      </c>
      <c r="V16" s="3" t="n">
        <f aca="false">S16+T16+U16</f>
        <v>4.99142857142857</v>
      </c>
      <c r="W16" s="3" t="n">
        <f aca="false">1/V16</f>
        <v>0.20034344590727</v>
      </c>
      <c r="X16" s="3" t="n">
        <f aca="false">INDEX(Shelter_Design!$R$2:$R$41,MATCH($B16,Shelter_Design!$A$2:$A$41,0))</f>
        <v>27.6</v>
      </c>
      <c r="Y16" s="3" t="n">
        <f aca="false">INDEX(Shelter_Design!$P$2:$P$41,MATCH($B16,Shelter_Design!$A$2:$A$41,0))</f>
        <v>1.2</v>
      </c>
      <c r="Z16" s="3" t="n">
        <f aca="false">INDEX(Shelter_Design!$G$2:$G$41,MATCH($B16,Shelter_Design!$A$2:$A$41,0))</f>
        <v>21.6</v>
      </c>
      <c r="AA16" s="3" t="n">
        <f aca="false">INDEX(Shelter_Design!$S$2:$S$41,MATCH($B16,Shelter_Design!$A$2:$A$41,0))</f>
        <v>0.0416666666666667</v>
      </c>
      <c r="AB16" s="3" t="n">
        <f aca="false">INDEX(Shelter_Design!$Y$2:$Y$41,MATCH($B16,Shelter_Design!$A$2:$A$41,0))</f>
        <v>2</v>
      </c>
      <c r="AC16" s="3" t="str">
        <f aca="false">INDEX(Shelter_Design!$Z$2:$Z$41,MATCH($B16,Shelter_Design!$A$2:$A$41,0))</f>
        <v>Resting / sleeping</v>
      </c>
      <c r="AD16" s="3" t="n">
        <f aca="false">INDEX(Shelter_Design!$AA$2:$AA$41,MATCH($B16,Shelter_Design!$A$2:$A$41,0))</f>
        <v>1.75</v>
      </c>
      <c r="AE16" s="3" t="s">
        <v>304</v>
      </c>
    </row>
    <row r="17" customFormat="false" ht="15" hidden="false" customHeight="true" outlineLevel="0" collapsed="false">
      <c r="A17" s="3" t="s">
        <v>319</v>
      </c>
      <c r="B17" s="3" t="s">
        <v>231</v>
      </c>
      <c r="C17" s="3" t="s">
        <v>222</v>
      </c>
      <c r="D17" s="3" t="s">
        <v>303</v>
      </c>
      <c r="E17" s="3" t="s">
        <v>20</v>
      </c>
      <c r="F17" s="3" t="s">
        <v>22</v>
      </c>
      <c r="G17" s="3" t="str">
        <f aca="false">E17&amp;"-"&amp;F17</f>
        <v>Leh-January</v>
      </c>
      <c r="H17" s="3" t="n">
        <f aca="false">INDEX(Weather_Data!$K$2:$K$73,MATCH($G17,Weather_Data!$J$2:$J$73,0))</f>
        <v>-8</v>
      </c>
      <c r="I17" s="3" t="n">
        <f aca="false">INDEX(Weather_Data!$L$2:$L$73,MATCH($G17,Weather_Data!$J$2:$J$73,0))</f>
        <v>25</v>
      </c>
      <c r="J17" s="3" t="n">
        <f aca="false">INDEX(Weather_Data!$M$2:$M$73,MATCH($G17,Weather_Data!$J$2:$J$73,0))</f>
        <v>2</v>
      </c>
      <c r="K17" s="3" t="n">
        <f aca="false">INDEX(Weather_Data!$P$2:$P$73,MATCH($G17,Weather_Data!$J$2:$J$73,0))</f>
        <v>166.666666666667</v>
      </c>
      <c r="L17" s="3" t="n">
        <f aca="false">INDEX(Weather_Data!$Q$2:$Q$73,MATCH($G17,Weather_Data!$J$2:$J$73,0))</f>
        <v>5</v>
      </c>
      <c r="M17" s="3" t="str">
        <f aca="false">INDEX(Shelter_Design!$I$2:$I$41,MATCH($B17,Shelter_Design!$A$2:$A$41,0))</f>
        <v>M06</v>
      </c>
      <c r="N17" s="3" t="n">
        <f aca="false">IFERROR(INDEX(Material_Properties!$D$2:$D$21,MATCH(M17,Material_Properties!$A$2:$A$21,0)),1)</f>
        <v>0.14</v>
      </c>
      <c r="O17" s="3" t="n">
        <f aca="false">INDEX(Shelter_Design!$M$2:$M$41,MATCH($B17,Shelter_Design!$A$2:$A$41,0))</f>
        <v>150</v>
      </c>
      <c r="P17" s="3" t="str">
        <f aca="false">INDEX(Shelter_Design!$L$2:$L$41,MATCH($B17,Shelter_Design!$A$2:$A$41,0))</f>
        <v>M09</v>
      </c>
      <c r="Q17" s="3" t="n">
        <f aca="false">IF(P17="None",0,IFERROR(INDEX(Material_Properties!$D$2:$D$21,MATCH(P17,Material_Properties!$A$2:$A$21,0)),0))</f>
        <v>0.04</v>
      </c>
      <c r="R17" s="3" t="n">
        <f aca="false">INDEX(Shelter_Design!$O$2:$O$41,MATCH($B17,Shelter_Design!$A$2:$A$41,0))</f>
        <v>150</v>
      </c>
      <c r="S17" s="3" t="n">
        <f aca="false">(O17/1000)/N17</f>
        <v>1.07142857142857</v>
      </c>
      <c r="T17" s="3" t="n">
        <f aca="false">IF(OR(P17="None",Q17=0),0,(R17/1000)/Q17)</f>
        <v>3.75</v>
      </c>
      <c r="U17" s="3" t="n">
        <v>0.17</v>
      </c>
      <c r="V17" s="3" t="n">
        <f aca="false">S17+T17+U17</f>
        <v>4.99142857142857</v>
      </c>
      <c r="W17" s="3" t="n">
        <f aca="false">1/V17</f>
        <v>0.20034344590727</v>
      </c>
      <c r="X17" s="3" t="n">
        <f aca="false">INDEX(Shelter_Design!$R$2:$R$41,MATCH($B17,Shelter_Design!$A$2:$A$41,0))</f>
        <v>45</v>
      </c>
      <c r="Y17" s="3" t="n">
        <f aca="false">INDEX(Shelter_Design!$P$2:$P$41,MATCH($B17,Shelter_Design!$A$2:$A$41,0))</f>
        <v>1.8</v>
      </c>
      <c r="Z17" s="3" t="n">
        <f aca="false">INDEX(Shelter_Design!$G$2:$G$41,MATCH($B17,Shelter_Design!$A$2:$A$41,0))</f>
        <v>52</v>
      </c>
      <c r="AA17" s="3" t="n">
        <f aca="false">INDEX(Shelter_Design!$S$2:$S$41,MATCH($B17,Shelter_Design!$A$2:$A$41,0))</f>
        <v>0.0384615384615385</v>
      </c>
      <c r="AB17" s="3" t="n">
        <f aca="false">INDEX(Shelter_Design!$Y$2:$Y$41,MATCH($B17,Shelter_Design!$A$2:$A$41,0))</f>
        <v>5</v>
      </c>
      <c r="AC17" s="3" t="str">
        <f aca="false">INDEX(Shelter_Design!$Z$2:$Z$41,MATCH($B17,Shelter_Design!$A$2:$A$41,0))</f>
        <v>Resting / sleeping</v>
      </c>
      <c r="AD17" s="3" t="n">
        <f aca="false">INDEX(Shelter_Design!$AA$2:$AA$41,MATCH($B17,Shelter_Design!$A$2:$A$41,0))</f>
        <v>1.75</v>
      </c>
      <c r="AE17" s="3" t="s">
        <v>304</v>
      </c>
    </row>
    <row r="18" customFormat="false" ht="15" hidden="false" customHeight="true" outlineLevel="0" collapsed="false">
      <c r="A18" s="3" t="s">
        <v>320</v>
      </c>
      <c r="B18" s="3" t="s">
        <v>231</v>
      </c>
      <c r="C18" s="3" t="s">
        <v>222</v>
      </c>
      <c r="D18" s="3" t="s">
        <v>303</v>
      </c>
      <c r="E18" s="3" t="s">
        <v>20</v>
      </c>
      <c r="F18" s="3" t="s">
        <v>33</v>
      </c>
      <c r="G18" s="3" t="str">
        <f aca="false">E18&amp;"-"&amp;F18</f>
        <v>Leh-April</v>
      </c>
      <c r="H18" s="3" t="n">
        <f aca="false">INDEX(Weather_Data!$K$2:$K$73,MATCH($G18,Weather_Data!$J$2:$J$73,0))</f>
        <v>7</v>
      </c>
      <c r="I18" s="3" t="n">
        <f aca="false">INDEX(Weather_Data!$L$2:$L$73,MATCH($G18,Weather_Data!$J$2:$J$73,0))</f>
        <v>30</v>
      </c>
      <c r="J18" s="3" t="n">
        <f aca="false">INDEX(Weather_Data!$M$2:$M$73,MATCH($G18,Weather_Data!$J$2:$J$73,0))</f>
        <v>4</v>
      </c>
      <c r="K18" s="3" t="n">
        <f aca="false">INDEX(Weather_Data!$P$2:$P$73,MATCH($G18,Weather_Data!$J$2:$J$73,0))</f>
        <v>270.833333333333</v>
      </c>
      <c r="L18" s="3" t="n">
        <f aca="false">INDEX(Weather_Data!$Q$2:$Q$73,MATCH($G18,Weather_Data!$J$2:$J$73,0))</f>
        <v>10</v>
      </c>
      <c r="M18" s="3" t="str">
        <f aca="false">INDEX(Shelter_Design!$I$2:$I$41,MATCH($B18,Shelter_Design!$A$2:$A$41,0))</f>
        <v>M06</v>
      </c>
      <c r="N18" s="3" t="n">
        <f aca="false">IFERROR(INDEX(Material_Properties!$D$2:$D$21,MATCH(M18,Material_Properties!$A$2:$A$21,0)),1)</f>
        <v>0.14</v>
      </c>
      <c r="O18" s="3" t="n">
        <f aca="false">INDEX(Shelter_Design!$M$2:$M$41,MATCH($B18,Shelter_Design!$A$2:$A$41,0))</f>
        <v>150</v>
      </c>
      <c r="P18" s="3" t="str">
        <f aca="false">INDEX(Shelter_Design!$L$2:$L$41,MATCH($B18,Shelter_Design!$A$2:$A$41,0))</f>
        <v>M09</v>
      </c>
      <c r="Q18" s="3" t="n">
        <f aca="false">IF(P18="None",0,IFERROR(INDEX(Material_Properties!$D$2:$D$21,MATCH(P18,Material_Properties!$A$2:$A$21,0)),0))</f>
        <v>0.04</v>
      </c>
      <c r="R18" s="3" t="n">
        <f aca="false">INDEX(Shelter_Design!$O$2:$O$41,MATCH($B18,Shelter_Design!$A$2:$A$41,0))</f>
        <v>150</v>
      </c>
      <c r="S18" s="3" t="n">
        <f aca="false">(O18/1000)/N18</f>
        <v>1.07142857142857</v>
      </c>
      <c r="T18" s="3" t="n">
        <f aca="false">IF(OR(P18="None",Q18=0),0,(R18/1000)/Q18)</f>
        <v>3.75</v>
      </c>
      <c r="U18" s="3" t="n">
        <v>0.17</v>
      </c>
      <c r="V18" s="3" t="n">
        <f aca="false">S18+T18+U18</f>
        <v>4.99142857142857</v>
      </c>
      <c r="W18" s="3" t="n">
        <f aca="false">1/V18</f>
        <v>0.20034344590727</v>
      </c>
      <c r="X18" s="3" t="n">
        <f aca="false">INDEX(Shelter_Design!$R$2:$R$41,MATCH($B18,Shelter_Design!$A$2:$A$41,0))</f>
        <v>45</v>
      </c>
      <c r="Y18" s="3" t="n">
        <f aca="false">INDEX(Shelter_Design!$P$2:$P$41,MATCH($B18,Shelter_Design!$A$2:$A$41,0))</f>
        <v>1.8</v>
      </c>
      <c r="Z18" s="3" t="n">
        <f aca="false">INDEX(Shelter_Design!$G$2:$G$41,MATCH($B18,Shelter_Design!$A$2:$A$41,0))</f>
        <v>52</v>
      </c>
      <c r="AA18" s="3" t="n">
        <f aca="false">INDEX(Shelter_Design!$S$2:$S$41,MATCH($B18,Shelter_Design!$A$2:$A$41,0))</f>
        <v>0.0384615384615385</v>
      </c>
      <c r="AB18" s="3" t="n">
        <f aca="false">INDEX(Shelter_Design!$Y$2:$Y$41,MATCH($B18,Shelter_Design!$A$2:$A$41,0))</f>
        <v>5</v>
      </c>
      <c r="AC18" s="3" t="str">
        <f aca="false">INDEX(Shelter_Design!$Z$2:$Z$41,MATCH($B18,Shelter_Design!$A$2:$A$41,0))</f>
        <v>Resting / sleeping</v>
      </c>
      <c r="AD18" s="3" t="n">
        <f aca="false">INDEX(Shelter_Design!$AA$2:$AA$41,MATCH($B18,Shelter_Design!$A$2:$A$41,0))</f>
        <v>1.75</v>
      </c>
      <c r="AE18" s="3" t="s">
        <v>304</v>
      </c>
    </row>
    <row r="19" customFormat="false" ht="15" hidden="false" customHeight="true" outlineLevel="0" collapsed="false">
      <c r="A19" s="3" t="s">
        <v>321</v>
      </c>
      <c r="B19" s="3" t="s">
        <v>231</v>
      </c>
      <c r="C19" s="3" t="s">
        <v>222</v>
      </c>
      <c r="D19" s="3" t="s">
        <v>303</v>
      </c>
      <c r="E19" s="3" t="s">
        <v>20</v>
      </c>
      <c r="F19" s="3" t="s">
        <v>42</v>
      </c>
      <c r="G19" s="3" t="str">
        <f aca="false">E19&amp;"-"&amp;F19</f>
        <v>Leh-July</v>
      </c>
      <c r="H19" s="3" t="n">
        <f aca="false">INDEX(Weather_Data!$K$2:$K$73,MATCH($G19,Weather_Data!$J$2:$J$73,0))</f>
        <v>19</v>
      </c>
      <c r="I19" s="3" t="n">
        <f aca="false">INDEX(Weather_Data!$L$2:$L$73,MATCH($G19,Weather_Data!$J$2:$J$73,0))</f>
        <v>38</v>
      </c>
      <c r="J19" s="3" t="n">
        <f aca="false">INDEX(Weather_Data!$M$2:$M$73,MATCH($G19,Weather_Data!$J$2:$J$73,0))</f>
        <v>3</v>
      </c>
      <c r="K19" s="3" t="n">
        <f aca="false">INDEX(Weather_Data!$P$2:$P$73,MATCH($G19,Weather_Data!$J$2:$J$73,0))</f>
        <v>283.333333333333</v>
      </c>
      <c r="L19" s="3" t="n">
        <f aca="false">INDEX(Weather_Data!$Q$2:$Q$73,MATCH($G19,Weather_Data!$J$2:$J$73,0))</f>
        <v>15</v>
      </c>
      <c r="M19" s="3" t="str">
        <f aca="false">INDEX(Shelter_Design!$I$2:$I$41,MATCH($B19,Shelter_Design!$A$2:$A$41,0))</f>
        <v>M06</v>
      </c>
      <c r="N19" s="3" t="n">
        <f aca="false">IFERROR(INDEX(Material_Properties!$D$2:$D$21,MATCH(M19,Material_Properties!$A$2:$A$21,0)),1)</f>
        <v>0.14</v>
      </c>
      <c r="O19" s="3" t="n">
        <f aca="false">INDEX(Shelter_Design!$M$2:$M$41,MATCH($B19,Shelter_Design!$A$2:$A$41,0))</f>
        <v>150</v>
      </c>
      <c r="P19" s="3" t="str">
        <f aca="false">INDEX(Shelter_Design!$L$2:$L$41,MATCH($B19,Shelter_Design!$A$2:$A$41,0))</f>
        <v>M09</v>
      </c>
      <c r="Q19" s="3" t="n">
        <f aca="false">IF(P19="None",0,IFERROR(INDEX(Material_Properties!$D$2:$D$21,MATCH(P19,Material_Properties!$A$2:$A$21,0)),0))</f>
        <v>0.04</v>
      </c>
      <c r="R19" s="3" t="n">
        <f aca="false">INDEX(Shelter_Design!$O$2:$O$41,MATCH($B19,Shelter_Design!$A$2:$A$41,0))</f>
        <v>150</v>
      </c>
      <c r="S19" s="3" t="n">
        <f aca="false">(O19/1000)/N19</f>
        <v>1.07142857142857</v>
      </c>
      <c r="T19" s="3" t="n">
        <f aca="false">IF(OR(P19="None",Q19=0),0,(R19/1000)/Q19)</f>
        <v>3.75</v>
      </c>
      <c r="U19" s="3" t="n">
        <v>0.17</v>
      </c>
      <c r="V19" s="3" t="n">
        <f aca="false">S19+T19+U19</f>
        <v>4.99142857142857</v>
      </c>
      <c r="W19" s="3" t="n">
        <f aca="false">1/V19</f>
        <v>0.20034344590727</v>
      </c>
      <c r="X19" s="3" t="n">
        <f aca="false">INDEX(Shelter_Design!$R$2:$R$41,MATCH($B19,Shelter_Design!$A$2:$A$41,0))</f>
        <v>45</v>
      </c>
      <c r="Y19" s="3" t="n">
        <f aca="false">INDEX(Shelter_Design!$P$2:$P$41,MATCH($B19,Shelter_Design!$A$2:$A$41,0))</f>
        <v>1.8</v>
      </c>
      <c r="Z19" s="3" t="n">
        <f aca="false">INDEX(Shelter_Design!$G$2:$G$41,MATCH($B19,Shelter_Design!$A$2:$A$41,0))</f>
        <v>52</v>
      </c>
      <c r="AA19" s="3" t="n">
        <f aca="false">INDEX(Shelter_Design!$S$2:$S$41,MATCH($B19,Shelter_Design!$A$2:$A$41,0))</f>
        <v>0.0384615384615385</v>
      </c>
      <c r="AB19" s="3" t="n">
        <f aca="false">INDEX(Shelter_Design!$Y$2:$Y$41,MATCH($B19,Shelter_Design!$A$2:$A$41,0))</f>
        <v>5</v>
      </c>
      <c r="AC19" s="3" t="str">
        <f aca="false">INDEX(Shelter_Design!$Z$2:$Z$41,MATCH($B19,Shelter_Design!$A$2:$A$41,0))</f>
        <v>Resting / sleeping</v>
      </c>
      <c r="AD19" s="3" t="n">
        <f aca="false">INDEX(Shelter_Design!$AA$2:$AA$41,MATCH($B19,Shelter_Design!$A$2:$A$41,0))</f>
        <v>1.75</v>
      </c>
      <c r="AE19" s="3" t="s">
        <v>304</v>
      </c>
    </row>
    <row r="20" customFormat="false" ht="15" hidden="false" customHeight="true" outlineLevel="0" collapsed="false">
      <c r="A20" s="3" t="s">
        <v>322</v>
      </c>
      <c r="B20" s="3" t="s">
        <v>231</v>
      </c>
      <c r="C20" s="3" t="s">
        <v>222</v>
      </c>
      <c r="D20" s="3" t="s">
        <v>303</v>
      </c>
      <c r="E20" s="3" t="s">
        <v>20</v>
      </c>
      <c r="F20" s="3" t="s">
        <v>46</v>
      </c>
      <c r="G20" s="3" t="str">
        <f aca="false">E20&amp;"-"&amp;F20</f>
        <v>Leh-September</v>
      </c>
      <c r="H20" s="3" t="n">
        <f aca="false">INDEX(Weather_Data!$K$2:$K$73,MATCH($G20,Weather_Data!$J$2:$J$73,0))</f>
        <v>14</v>
      </c>
      <c r="I20" s="3" t="n">
        <f aca="false">INDEX(Weather_Data!$L$2:$L$73,MATCH($G20,Weather_Data!$J$2:$J$73,0))</f>
        <v>35</v>
      </c>
      <c r="J20" s="3" t="n">
        <f aca="false">INDEX(Weather_Data!$M$2:$M$73,MATCH($G20,Weather_Data!$J$2:$J$73,0))</f>
        <v>3</v>
      </c>
      <c r="K20" s="3" t="n">
        <f aca="false">INDEX(Weather_Data!$P$2:$P$73,MATCH($G20,Weather_Data!$J$2:$J$73,0))</f>
        <v>250</v>
      </c>
      <c r="L20" s="3" t="n">
        <f aca="false">INDEX(Weather_Data!$Q$2:$Q$73,MATCH($G20,Weather_Data!$J$2:$J$73,0))</f>
        <v>8</v>
      </c>
      <c r="M20" s="3" t="str">
        <f aca="false">INDEX(Shelter_Design!$I$2:$I$41,MATCH($B20,Shelter_Design!$A$2:$A$41,0))</f>
        <v>M06</v>
      </c>
      <c r="N20" s="3" t="n">
        <f aca="false">IFERROR(INDEX(Material_Properties!$D$2:$D$21,MATCH(M20,Material_Properties!$A$2:$A$21,0)),1)</f>
        <v>0.14</v>
      </c>
      <c r="O20" s="3" t="n">
        <f aca="false">INDEX(Shelter_Design!$M$2:$M$41,MATCH($B20,Shelter_Design!$A$2:$A$41,0))</f>
        <v>150</v>
      </c>
      <c r="P20" s="3" t="str">
        <f aca="false">INDEX(Shelter_Design!$L$2:$L$41,MATCH($B20,Shelter_Design!$A$2:$A$41,0))</f>
        <v>M09</v>
      </c>
      <c r="Q20" s="3" t="n">
        <f aca="false">IF(P20="None",0,IFERROR(INDEX(Material_Properties!$D$2:$D$21,MATCH(P20,Material_Properties!$A$2:$A$21,0)),0))</f>
        <v>0.04</v>
      </c>
      <c r="R20" s="3" t="n">
        <f aca="false">INDEX(Shelter_Design!$O$2:$O$41,MATCH($B20,Shelter_Design!$A$2:$A$41,0))</f>
        <v>150</v>
      </c>
      <c r="S20" s="3" t="n">
        <f aca="false">(O20/1000)/N20</f>
        <v>1.07142857142857</v>
      </c>
      <c r="T20" s="3" t="n">
        <f aca="false">IF(OR(P20="None",Q20=0),0,(R20/1000)/Q20)</f>
        <v>3.75</v>
      </c>
      <c r="U20" s="3" t="n">
        <v>0.17</v>
      </c>
      <c r="V20" s="3" t="n">
        <f aca="false">S20+T20+U20</f>
        <v>4.99142857142857</v>
      </c>
      <c r="W20" s="3" t="n">
        <f aca="false">1/V20</f>
        <v>0.20034344590727</v>
      </c>
      <c r="X20" s="3" t="n">
        <f aca="false">INDEX(Shelter_Design!$R$2:$R$41,MATCH($B20,Shelter_Design!$A$2:$A$41,0))</f>
        <v>45</v>
      </c>
      <c r="Y20" s="3" t="n">
        <f aca="false">INDEX(Shelter_Design!$P$2:$P$41,MATCH($B20,Shelter_Design!$A$2:$A$41,0))</f>
        <v>1.8</v>
      </c>
      <c r="Z20" s="3" t="n">
        <f aca="false">INDEX(Shelter_Design!$G$2:$G$41,MATCH($B20,Shelter_Design!$A$2:$A$41,0))</f>
        <v>52</v>
      </c>
      <c r="AA20" s="3" t="n">
        <f aca="false">INDEX(Shelter_Design!$S$2:$S$41,MATCH($B20,Shelter_Design!$A$2:$A$41,0))</f>
        <v>0.0384615384615385</v>
      </c>
      <c r="AB20" s="3" t="n">
        <f aca="false">INDEX(Shelter_Design!$Y$2:$Y$41,MATCH($B20,Shelter_Design!$A$2:$A$41,0))</f>
        <v>5</v>
      </c>
      <c r="AC20" s="3" t="str">
        <f aca="false">INDEX(Shelter_Design!$Z$2:$Z$41,MATCH($B20,Shelter_Design!$A$2:$A$41,0))</f>
        <v>Resting / sleeping</v>
      </c>
      <c r="AD20" s="3" t="n">
        <f aca="false">INDEX(Shelter_Design!$AA$2:$AA$41,MATCH($B20,Shelter_Design!$A$2:$A$41,0))</f>
        <v>1.75</v>
      </c>
      <c r="AE20" s="3" t="s">
        <v>304</v>
      </c>
    </row>
    <row r="21" customFormat="false" ht="15" hidden="false" customHeight="true" outlineLevel="0" collapsed="false">
      <c r="A21" s="3" t="s">
        <v>323</v>
      </c>
      <c r="B21" s="3" t="s">
        <v>231</v>
      </c>
      <c r="C21" s="3" t="s">
        <v>222</v>
      </c>
      <c r="D21" s="3" t="s">
        <v>303</v>
      </c>
      <c r="E21" s="3" t="s">
        <v>20</v>
      </c>
      <c r="F21" s="3" t="s">
        <v>51</v>
      </c>
      <c r="G21" s="3" t="str">
        <f aca="false">E21&amp;"-"&amp;F21</f>
        <v>Leh-November</v>
      </c>
      <c r="H21" s="3" t="n">
        <f aca="false">INDEX(Weather_Data!$K$2:$K$73,MATCH($G21,Weather_Data!$J$2:$J$73,0))</f>
        <v>-1</v>
      </c>
      <c r="I21" s="3" t="n">
        <f aca="false">INDEX(Weather_Data!$L$2:$L$73,MATCH($G21,Weather_Data!$J$2:$J$73,0))</f>
        <v>27</v>
      </c>
      <c r="J21" s="3" t="n">
        <f aca="false">INDEX(Weather_Data!$M$2:$M$73,MATCH($G21,Weather_Data!$J$2:$J$73,0))</f>
        <v>2</v>
      </c>
      <c r="K21" s="3" t="n">
        <f aca="false">INDEX(Weather_Data!$P$2:$P$73,MATCH($G21,Weather_Data!$J$2:$J$73,0))</f>
        <v>175</v>
      </c>
      <c r="L21" s="3" t="n">
        <f aca="false">INDEX(Weather_Data!$Q$2:$Q$73,MATCH($G21,Weather_Data!$J$2:$J$73,0))</f>
        <v>2</v>
      </c>
      <c r="M21" s="3" t="str">
        <f aca="false">INDEX(Shelter_Design!$I$2:$I$41,MATCH($B21,Shelter_Design!$A$2:$A$41,0))</f>
        <v>M06</v>
      </c>
      <c r="N21" s="3" t="n">
        <f aca="false">IFERROR(INDEX(Material_Properties!$D$2:$D$21,MATCH(M21,Material_Properties!$A$2:$A$21,0)),1)</f>
        <v>0.14</v>
      </c>
      <c r="O21" s="3" t="n">
        <f aca="false">INDEX(Shelter_Design!$M$2:$M$41,MATCH($B21,Shelter_Design!$A$2:$A$41,0))</f>
        <v>150</v>
      </c>
      <c r="P21" s="3" t="str">
        <f aca="false">INDEX(Shelter_Design!$L$2:$L$41,MATCH($B21,Shelter_Design!$A$2:$A$41,0))</f>
        <v>M09</v>
      </c>
      <c r="Q21" s="3" t="n">
        <f aca="false">IF(P21="None",0,IFERROR(INDEX(Material_Properties!$D$2:$D$21,MATCH(P21,Material_Properties!$A$2:$A$21,0)),0))</f>
        <v>0.04</v>
      </c>
      <c r="R21" s="3" t="n">
        <f aca="false">INDEX(Shelter_Design!$O$2:$O$41,MATCH($B21,Shelter_Design!$A$2:$A$41,0))</f>
        <v>150</v>
      </c>
      <c r="S21" s="3" t="n">
        <f aca="false">(O21/1000)/N21</f>
        <v>1.07142857142857</v>
      </c>
      <c r="T21" s="3" t="n">
        <f aca="false">IF(OR(P21="None",Q21=0),0,(R21/1000)/Q21)</f>
        <v>3.75</v>
      </c>
      <c r="U21" s="3" t="n">
        <v>0.17</v>
      </c>
      <c r="V21" s="3" t="n">
        <f aca="false">S21+T21+U21</f>
        <v>4.99142857142857</v>
      </c>
      <c r="W21" s="3" t="n">
        <f aca="false">1/V21</f>
        <v>0.20034344590727</v>
      </c>
      <c r="X21" s="3" t="n">
        <f aca="false">INDEX(Shelter_Design!$R$2:$R$41,MATCH($B21,Shelter_Design!$A$2:$A$41,0))</f>
        <v>45</v>
      </c>
      <c r="Y21" s="3" t="n">
        <f aca="false">INDEX(Shelter_Design!$P$2:$P$41,MATCH($B21,Shelter_Design!$A$2:$A$41,0))</f>
        <v>1.8</v>
      </c>
      <c r="Z21" s="3" t="n">
        <f aca="false">INDEX(Shelter_Design!$G$2:$G$41,MATCH($B21,Shelter_Design!$A$2:$A$41,0))</f>
        <v>52</v>
      </c>
      <c r="AA21" s="3" t="n">
        <f aca="false">INDEX(Shelter_Design!$S$2:$S$41,MATCH($B21,Shelter_Design!$A$2:$A$41,0))</f>
        <v>0.0384615384615385</v>
      </c>
      <c r="AB21" s="3" t="n">
        <f aca="false">INDEX(Shelter_Design!$Y$2:$Y$41,MATCH($B21,Shelter_Design!$A$2:$A$41,0))</f>
        <v>5</v>
      </c>
      <c r="AC21" s="3" t="str">
        <f aca="false">INDEX(Shelter_Design!$Z$2:$Z$41,MATCH($B21,Shelter_Design!$A$2:$A$41,0))</f>
        <v>Resting / sleeping</v>
      </c>
      <c r="AD21" s="3" t="n">
        <f aca="false">INDEX(Shelter_Design!$AA$2:$AA$41,MATCH($B21,Shelter_Design!$A$2:$A$41,0))</f>
        <v>1.75</v>
      </c>
      <c r="AE21" s="3" t="s">
        <v>304</v>
      </c>
    </row>
    <row r="22" customFormat="false" ht="15" hidden="false" customHeight="true" outlineLevel="0" collapsed="false">
      <c r="A22" s="3" t="s">
        <v>324</v>
      </c>
      <c r="B22" s="3" t="s">
        <v>232</v>
      </c>
      <c r="C22" s="3" t="s">
        <v>222</v>
      </c>
      <c r="D22" s="3" t="s">
        <v>303</v>
      </c>
      <c r="E22" s="3" t="s">
        <v>20</v>
      </c>
      <c r="F22" s="3" t="s">
        <v>22</v>
      </c>
      <c r="G22" s="3" t="str">
        <f aca="false">E22&amp;"-"&amp;F22</f>
        <v>Leh-January</v>
      </c>
      <c r="H22" s="3" t="n">
        <f aca="false">INDEX(Weather_Data!$K$2:$K$73,MATCH($G22,Weather_Data!$J$2:$J$73,0))</f>
        <v>-8</v>
      </c>
      <c r="I22" s="3" t="n">
        <f aca="false">INDEX(Weather_Data!$L$2:$L$73,MATCH($G22,Weather_Data!$J$2:$J$73,0))</f>
        <v>25</v>
      </c>
      <c r="J22" s="3" t="n">
        <f aca="false">INDEX(Weather_Data!$M$2:$M$73,MATCH($G22,Weather_Data!$J$2:$J$73,0))</f>
        <v>2</v>
      </c>
      <c r="K22" s="3" t="n">
        <f aca="false">INDEX(Weather_Data!$P$2:$P$73,MATCH($G22,Weather_Data!$J$2:$J$73,0))</f>
        <v>166.666666666667</v>
      </c>
      <c r="L22" s="3" t="n">
        <f aca="false">INDEX(Weather_Data!$Q$2:$Q$73,MATCH($G22,Weather_Data!$J$2:$J$73,0))</f>
        <v>5</v>
      </c>
      <c r="M22" s="3" t="str">
        <f aca="false">INDEX(Shelter_Design!$I$2:$I$41,MATCH($B22,Shelter_Design!$A$2:$A$41,0))</f>
        <v>M15</v>
      </c>
      <c r="N22" s="3" t="n">
        <f aca="false">IFERROR(INDEX(Material_Properties!$D$2:$D$21,MATCH(M22,Material_Properties!$A$2:$A$21,0)),1)</f>
        <v>1</v>
      </c>
      <c r="O22" s="3" t="n">
        <f aca="false">INDEX(Shelter_Design!$M$2:$M$41,MATCH($B22,Shelter_Design!$A$2:$A$41,0))</f>
        <v>250</v>
      </c>
      <c r="P22" s="3" t="str">
        <f aca="false">INDEX(Shelter_Design!$L$2:$L$41,MATCH($B22,Shelter_Design!$A$2:$A$41,0))</f>
        <v>M11</v>
      </c>
      <c r="Q22" s="3" t="n">
        <f aca="false">IF(P22="None",0,IFERROR(INDEX(Material_Properties!$D$2:$D$21,MATCH(P22,Material_Properties!$A$2:$A$21,0)),0))</f>
        <v>0.025</v>
      </c>
      <c r="R22" s="3" t="n">
        <f aca="false">INDEX(Shelter_Design!$O$2:$O$41,MATCH($B22,Shelter_Design!$A$2:$A$41,0))</f>
        <v>100</v>
      </c>
      <c r="S22" s="3" t="n">
        <f aca="false">(O22/1000)/N22</f>
        <v>0.25</v>
      </c>
      <c r="T22" s="3" t="n">
        <f aca="false">IF(OR(P22="None",Q22=0),0,(R22/1000)/Q22)</f>
        <v>4</v>
      </c>
      <c r="U22" s="3" t="n">
        <v>0.17</v>
      </c>
      <c r="V22" s="3" t="n">
        <f aca="false">S22+T22+U22</f>
        <v>4.42</v>
      </c>
      <c r="W22" s="3" t="n">
        <f aca="false">1/V22</f>
        <v>0.226244343891403</v>
      </c>
      <c r="X22" s="3" t="n">
        <f aca="false">INDEX(Shelter_Design!$R$2:$R$41,MATCH($B22,Shelter_Design!$A$2:$A$41,0))</f>
        <v>27.6</v>
      </c>
      <c r="Y22" s="3" t="n">
        <f aca="false">INDEX(Shelter_Design!$P$2:$P$41,MATCH($B22,Shelter_Design!$A$2:$A$41,0))</f>
        <v>1.2</v>
      </c>
      <c r="Z22" s="3" t="n">
        <f aca="false">INDEX(Shelter_Design!$G$2:$G$41,MATCH($B22,Shelter_Design!$A$2:$A$41,0))</f>
        <v>21.6</v>
      </c>
      <c r="AA22" s="3" t="n">
        <f aca="false">INDEX(Shelter_Design!$S$2:$S$41,MATCH($B22,Shelter_Design!$A$2:$A$41,0))</f>
        <v>0.0416666666666667</v>
      </c>
      <c r="AB22" s="3" t="n">
        <f aca="false">INDEX(Shelter_Design!$Y$2:$Y$41,MATCH($B22,Shelter_Design!$A$2:$A$41,0))</f>
        <v>2</v>
      </c>
      <c r="AC22" s="3" t="str">
        <f aca="false">INDEX(Shelter_Design!$Z$2:$Z$41,MATCH($B22,Shelter_Design!$A$2:$A$41,0))</f>
        <v>Resting / sleeping</v>
      </c>
      <c r="AD22" s="3" t="n">
        <f aca="false">INDEX(Shelter_Design!$AA$2:$AA$41,MATCH($B22,Shelter_Design!$A$2:$A$41,0))</f>
        <v>1.75</v>
      </c>
      <c r="AE22" s="3" t="s">
        <v>304</v>
      </c>
    </row>
    <row r="23" customFormat="false" ht="15" hidden="false" customHeight="true" outlineLevel="0" collapsed="false">
      <c r="A23" s="3" t="s">
        <v>325</v>
      </c>
      <c r="B23" s="3" t="s">
        <v>232</v>
      </c>
      <c r="C23" s="3" t="s">
        <v>222</v>
      </c>
      <c r="D23" s="3" t="s">
        <v>303</v>
      </c>
      <c r="E23" s="3" t="s">
        <v>20</v>
      </c>
      <c r="F23" s="3" t="s">
        <v>33</v>
      </c>
      <c r="G23" s="3" t="str">
        <f aca="false">E23&amp;"-"&amp;F23</f>
        <v>Leh-April</v>
      </c>
      <c r="H23" s="3" t="n">
        <f aca="false">INDEX(Weather_Data!$K$2:$K$73,MATCH($G23,Weather_Data!$J$2:$J$73,0))</f>
        <v>7</v>
      </c>
      <c r="I23" s="3" t="n">
        <f aca="false">INDEX(Weather_Data!$L$2:$L$73,MATCH($G23,Weather_Data!$J$2:$J$73,0))</f>
        <v>30</v>
      </c>
      <c r="J23" s="3" t="n">
        <f aca="false">INDEX(Weather_Data!$M$2:$M$73,MATCH($G23,Weather_Data!$J$2:$J$73,0))</f>
        <v>4</v>
      </c>
      <c r="K23" s="3" t="n">
        <f aca="false">INDEX(Weather_Data!$P$2:$P$73,MATCH($G23,Weather_Data!$J$2:$J$73,0))</f>
        <v>270.833333333333</v>
      </c>
      <c r="L23" s="3" t="n">
        <f aca="false">INDEX(Weather_Data!$Q$2:$Q$73,MATCH($G23,Weather_Data!$J$2:$J$73,0))</f>
        <v>10</v>
      </c>
      <c r="M23" s="3" t="str">
        <f aca="false">INDEX(Shelter_Design!$I$2:$I$41,MATCH($B23,Shelter_Design!$A$2:$A$41,0))</f>
        <v>M15</v>
      </c>
      <c r="N23" s="3" t="n">
        <f aca="false">IFERROR(INDEX(Material_Properties!$D$2:$D$21,MATCH(M23,Material_Properties!$A$2:$A$21,0)),1)</f>
        <v>1</v>
      </c>
      <c r="O23" s="3" t="n">
        <f aca="false">INDEX(Shelter_Design!$M$2:$M$41,MATCH($B23,Shelter_Design!$A$2:$A$41,0))</f>
        <v>250</v>
      </c>
      <c r="P23" s="3" t="str">
        <f aca="false">INDEX(Shelter_Design!$L$2:$L$41,MATCH($B23,Shelter_Design!$A$2:$A$41,0))</f>
        <v>M11</v>
      </c>
      <c r="Q23" s="3" t="n">
        <f aca="false">IF(P23="None",0,IFERROR(INDEX(Material_Properties!$D$2:$D$21,MATCH(P23,Material_Properties!$A$2:$A$21,0)),0))</f>
        <v>0.025</v>
      </c>
      <c r="R23" s="3" t="n">
        <f aca="false">INDEX(Shelter_Design!$O$2:$O$41,MATCH($B23,Shelter_Design!$A$2:$A$41,0))</f>
        <v>100</v>
      </c>
      <c r="S23" s="3" t="n">
        <f aca="false">(O23/1000)/N23</f>
        <v>0.25</v>
      </c>
      <c r="T23" s="3" t="n">
        <f aca="false">IF(OR(P23="None",Q23=0),0,(R23/1000)/Q23)</f>
        <v>4</v>
      </c>
      <c r="U23" s="3" t="n">
        <v>0.17</v>
      </c>
      <c r="V23" s="3" t="n">
        <f aca="false">S23+T23+U23</f>
        <v>4.42</v>
      </c>
      <c r="W23" s="3" t="n">
        <f aca="false">1/V23</f>
        <v>0.226244343891403</v>
      </c>
      <c r="X23" s="3" t="n">
        <f aca="false">INDEX(Shelter_Design!$R$2:$R$41,MATCH($B23,Shelter_Design!$A$2:$A$41,0))</f>
        <v>27.6</v>
      </c>
      <c r="Y23" s="3" t="n">
        <f aca="false">INDEX(Shelter_Design!$P$2:$P$41,MATCH($B23,Shelter_Design!$A$2:$A$41,0))</f>
        <v>1.2</v>
      </c>
      <c r="Z23" s="3" t="n">
        <f aca="false">INDEX(Shelter_Design!$G$2:$G$41,MATCH($B23,Shelter_Design!$A$2:$A$41,0))</f>
        <v>21.6</v>
      </c>
      <c r="AA23" s="3" t="n">
        <f aca="false">INDEX(Shelter_Design!$S$2:$S$41,MATCH($B23,Shelter_Design!$A$2:$A$41,0))</f>
        <v>0.0416666666666667</v>
      </c>
      <c r="AB23" s="3" t="n">
        <f aca="false">INDEX(Shelter_Design!$Y$2:$Y$41,MATCH($B23,Shelter_Design!$A$2:$A$41,0))</f>
        <v>2</v>
      </c>
      <c r="AC23" s="3" t="str">
        <f aca="false">INDEX(Shelter_Design!$Z$2:$Z$41,MATCH($B23,Shelter_Design!$A$2:$A$41,0))</f>
        <v>Resting / sleeping</v>
      </c>
      <c r="AD23" s="3" t="n">
        <f aca="false">INDEX(Shelter_Design!$AA$2:$AA$41,MATCH($B23,Shelter_Design!$A$2:$A$41,0))</f>
        <v>1.75</v>
      </c>
      <c r="AE23" s="3" t="s">
        <v>304</v>
      </c>
    </row>
    <row r="24" customFormat="false" ht="15" hidden="false" customHeight="true" outlineLevel="0" collapsed="false">
      <c r="A24" s="3" t="s">
        <v>326</v>
      </c>
      <c r="B24" s="3" t="s">
        <v>232</v>
      </c>
      <c r="C24" s="3" t="s">
        <v>222</v>
      </c>
      <c r="D24" s="3" t="s">
        <v>303</v>
      </c>
      <c r="E24" s="3" t="s">
        <v>20</v>
      </c>
      <c r="F24" s="3" t="s">
        <v>42</v>
      </c>
      <c r="G24" s="3" t="str">
        <f aca="false">E24&amp;"-"&amp;F24</f>
        <v>Leh-July</v>
      </c>
      <c r="H24" s="3" t="n">
        <f aca="false">INDEX(Weather_Data!$K$2:$K$73,MATCH($G24,Weather_Data!$J$2:$J$73,0))</f>
        <v>19</v>
      </c>
      <c r="I24" s="3" t="n">
        <f aca="false">INDEX(Weather_Data!$L$2:$L$73,MATCH($G24,Weather_Data!$J$2:$J$73,0))</f>
        <v>38</v>
      </c>
      <c r="J24" s="3" t="n">
        <f aca="false">INDEX(Weather_Data!$M$2:$M$73,MATCH($G24,Weather_Data!$J$2:$J$73,0))</f>
        <v>3</v>
      </c>
      <c r="K24" s="3" t="n">
        <f aca="false">INDEX(Weather_Data!$P$2:$P$73,MATCH($G24,Weather_Data!$J$2:$J$73,0))</f>
        <v>283.333333333333</v>
      </c>
      <c r="L24" s="3" t="n">
        <f aca="false">INDEX(Weather_Data!$Q$2:$Q$73,MATCH($G24,Weather_Data!$J$2:$J$73,0))</f>
        <v>15</v>
      </c>
      <c r="M24" s="3" t="str">
        <f aca="false">INDEX(Shelter_Design!$I$2:$I$41,MATCH($B24,Shelter_Design!$A$2:$A$41,0))</f>
        <v>M15</v>
      </c>
      <c r="N24" s="3" t="n">
        <f aca="false">IFERROR(INDEX(Material_Properties!$D$2:$D$21,MATCH(M24,Material_Properties!$A$2:$A$21,0)),1)</f>
        <v>1</v>
      </c>
      <c r="O24" s="3" t="n">
        <f aca="false">INDEX(Shelter_Design!$M$2:$M$41,MATCH($B24,Shelter_Design!$A$2:$A$41,0))</f>
        <v>250</v>
      </c>
      <c r="P24" s="3" t="str">
        <f aca="false">INDEX(Shelter_Design!$L$2:$L$41,MATCH($B24,Shelter_Design!$A$2:$A$41,0))</f>
        <v>M11</v>
      </c>
      <c r="Q24" s="3" t="n">
        <f aca="false">IF(P24="None",0,IFERROR(INDEX(Material_Properties!$D$2:$D$21,MATCH(P24,Material_Properties!$A$2:$A$21,0)),0))</f>
        <v>0.025</v>
      </c>
      <c r="R24" s="3" t="n">
        <f aca="false">INDEX(Shelter_Design!$O$2:$O$41,MATCH($B24,Shelter_Design!$A$2:$A$41,0))</f>
        <v>100</v>
      </c>
      <c r="S24" s="3" t="n">
        <f aca="false">(O24/1000)/N24</f>
        <v>0.25</v>
      </c>
      <c r="T24" s="3" t="n">
        <f aca="false">IF(OR(P24="None",Q24=0),0,(R24/1000)/Q24)</f>
        <v>4</v>
      </c>
      <c r="U24" s="3" t="n">
        <v>0.17</v>
      </c>
      <c r="V24" s="3" t="n">
        <f aca="false">S24+T24+U24</f>
        <v>4.42</v>
      </c>
      <c r="W24" s="3" t="n">
        <f aca="false">1/V24</f>
        <v>0.226244343891403</v>
      </c>
      <c r="X24" s="3" t="n">
        <f aca="false">INDEX(Shelter_Design!$R$2:$R$41,MATCH($B24,Shelter_Design!$A$2:$A$41,0))</f>
        <v>27.6</v>
      </c>
      <c r="Y24" s="3" t="n">
        <f aca="false">INDEX(Shelter_Design!$P$2:$P$41,MATCH($B24,Shelter_Design!$A$2:$A$41,0))</f>
        <v>1.2</v>
      </c>
      <c r="Z24" s="3" t="n">
        <f aca="false">INDEX(Shelter_Design!$G$2:$G$41,MATCH($B24,Shelter_Design!$A$2:$A$41,0))</f>
        <v>21.6</v>
      </c>
      <c r="AA24" s="3" t="n">
        <f aca="false">INDEX(Shelter_Design!$S$2:$S$41,MATCH($B24,Shelter_Design!$A$2:$A$41,0))</f>
        <v>0.0416666666666667</v>
      </c>
      <c r="AB24" s="3" t="n">
        <f aca="false">INDEX(Shelter_Design!$Y$2:$Y$41,MATCH($B24,Shelter_Design!$A$2:$A$41,0))</f>
        <v>2</v>
      </c>
      <c r="AC24" s="3" t="str">
        <f aca="false">INDEX(Shelter_Design!$Z$2:$Z$41,MATCH($B24,Shelter_Design!$A$2:$A$41,0))</f>
        <v>Resting / sleeping</v>
      </c>
      <c r="AD24" s="3" t="n">
        <f aca="false">INDEX(Shelter_Design!$AA$2:$AA$41,MATCH($B24,Shelter_Design!$A$2:$A$41,0))</f>
        <v>1.75</v>
      </c>
      <c r="AE24" s="3" t="s">
        <v>304</v>
      </c>
    </row>
    <row r="25" customFormat="false" ht="15" hidden="false" customHeight="true" outlineLevel="0" collapsed="false">
      <c r="A25" s="3" t="s">
        <v>327</v>
      </c>
      <c r="B25" s="3" t="s">
        <v>232</v>
      </c>
      <c r="C25" s="3" t="s">
        <v>222</v>
      </c>
      <c r="D25" s="3" t="s">
        <v>303</v>
      </c>
      <c r="E25" s="3" t="s">
        <v>20</v>
      </c>
      <c r="F25" s="3" t="s">
        <v>46</v>
      </c>
      <c r="G25" s="3" t="str">
        <f aca="false">E25&amp;"-"&amp;F25</f>
        <v>Leh-September</v>
      </c>
      <c r="H25" s="3" t="n">
        <f aca="false">INDEX(Weather_Data!$K$2:$K$73,MATCH($G25,Weather_Data!$J$2:$J$73,0))</f>
        <v>14</v>
      </c>
      <c r="I25" s="3" t="n">
        <f aca="false">INDEX(Weather_Data!$L$2:$L$73,MATCH($G25,Weather_Data!$J$2:$J$73,0))</f>
        <v>35</v>
      </c>
      <c r="J25" s="3" t="n">
        <f aca="false">INDEX(Weather_Data!$M$2:$M$73,MATCH($G25,Weather_Data!$J$2:$J$73,0))</f>
        <v>3</v>
      </c>
      <c r="K25" s="3" t="n">
        <f aca="false">INDEX(Weather_Data!$P$2:$P$73,MATCH($G25,Weather_Data!$J$2:$J$73,0))</f>
        <v>250</v>
      </c>
      <c r="L25" s="3" t="n">
        <f aca="false">INDEX(Weather_Data!$Q$2:$Q$73,MATCH($G25,Weather_Data!$J$2:$J$73,0))</f>
        <v>8</v>
      </c>
      <c r="M25" s="3" t="str">
        <f aca="false">INDEX(Shelter_Design!$I$2:$I$41,MATCH($B25,Shelter_Design!$A$2:$A$41,0))</f>
        <v>M15</v>
      </c>
      <c r="N25" s="3" t="n">
        <f aca="false">IFERROR(INDEX(Material_Properties!$D$2:$D$21,MATCH(M25,Material_Properties!$A$2:$A$21,0)),1)</f>
        <v>1</v>
      </c>
      <c r="O25" s="3" t="n">
        <f aca="false">INDEX(Shelter_Design!$M$2:$M$41,MATCH($B25,Shelter_Design!$A$2:$A$41,0))</f>
        <v>250</v>
      </c>
      <c r="P25" s="3" t="str">
        <f aca="false">INDEX(Shelter_Design!$L$2:$L$41,MATCH($B25,Shelter_Design!$A$2:$A$41,0))</f>
        <v>M11</v>
      </c>
      <c r="Q25" s="3" t="n">
        <f aca="false">IF(P25="None",0,IFERROR(INDEX(Material_Properties!$D$2:$D$21,MATCH(P25,Material_Properties!$A$2:$A$21,0)),0))</f>
        <v>0.025</v>
      </c>
      <c r="R25" s="3" t="n">
        <f aca="false">INDEX(Shelter_Design!$O$2:$O$41,MATCH($B25,Shelter_Design!$A$2:$A$41,0))</f>
        <v>100</v>
      </c>
      <c r="S25" s="3" t="n">
        <f aca="false">(O25/1000)/N25</f>
        <v>0.25</v>
      </c>
      <c r="T25" s="3" t="n">
        <f aca="false">IF(OR(P25="None",Q25=0),0,(R25/1000)/Q25)</f>
        <v>4</v>
      </c>
      <c r="U25" s="3" t="n">
        <v>0.17</v>
      </c>
      <c r="V25" s="3" t="n">
        <f aca="false">S25+T25+U25</f>
        <v>4.42</v>
      </c>
      <c r="W25" s="3" t="n">
        <f aca="false">1/V25</f>
        <v>0.226244343891403</v>
      </c>
      <c r="X25" s="3" t="n">
        <f aca="false">INDEX(Shelter_Design!$R$2:$R$41,MATCH($B25,Shelter_Design!$A$2:$A$41,0))</f>
        <v>27.6</v>
      </c>
      <c r="Y25" s="3" t="n">
        <f aca="false">INDEX(Shelter_Design!$P$2:$P$41,MATCH($B25,Shelter_Design!$A$2:$A$41,0))</f>
        <v>1.2</v>
      </c>
      <c r="Z25" s="3" t="n">
        <f aca="false">INDEX(Shelter_Design!$G$2:$G$41,MATCH($B25,Shelter_Design!$A$2:$A$41,0))</f>
        <v>21.6</v>
      </c>
      <c r="AA25" s="3" t="n">
        <f aca="false">INDEX(Shelter_Design!$S$2:$S$41,MATCH($B25,Shelter_Design!$A$2:$A$41,0))</f>
        <v>0.0416666666666667</v>
      </c>
      <c r="AB25" s="3" t="n">
        <f aca="false">INDEX(Shelter_Design!$Y$2:$Y$41,MATCH($B25,Shelter_Design!$A$2:$A$41,0))</f>
        <v>2</v>
      </c>
      <c r="AC25" s="3" t="str">
        <f aca="false">INDEX(Shelter_Design!$Z$2:$Z$41,MATCH($B25,Shelter_Design!$A$2:$A$41,0))</f>
        <v>Resting / sleeping</v>
      </c>
      <c r="AD25" s="3" t="n">
        <f aca="false">INDEX(Shelter_Design!$AA$2:$AA$41,MATCH($B25,Shelter_Design!$A$2:$A$41,0))</f>
        <v>1.75</v>
      </c>
      <c r="AE25" s="3" t="s">
        <v>304</v>
      </c>
    </row>
    <row r="26" customFormat="false" ht="15" hidden="false" customHeight="true" outlineLevel="0" collapsed="false">
      <c r="A26" s="3" t="s">
        <v>328</v>
      </c>
      <c r="B26" s="3" t="s">
        <v>232</v>
      </c>
      <c r="C26" s="3" t="s">
        <v>222</v>
      </c>
      <c r="D26" s="3" t="s">
        <v>303</v>
      </c>
      <c r="E26" s="3" t="s">
        <v>20</v>
      </c>
      <c r="F26" s="3" t="s">
        <v>51</v>
      </c>
      <c r="G26" s="3" t="str">
        <f aca="false">E26&amp;"-"&amp;F26</f>
        <v>Leh-November</v>
      </c>
      <c r="H26" s="3" t="n">
        <f aca="false">INDEX(Weather_Data!$K$2:$K$73,MATCH($G26,Weather_Data!$J$2:$J$73,0))</f>
        <v>-1</v>
      </c>
      <c r="I26" s="3" t="n">
        <f aca="false">INDEX(Weather_Data!$L$2:$L$73,MATCH($G26,Weather_Data!$J$2:$J$73,0))</f>
        <v>27</v>
      </c>
      <c r="J26" s="3" t="n">
        <f aca="false">INDEX(Weather_Data!$M$2:$M$73,MATCH($G26,Weather_Data!$J$2:$J$73,0))</f>
        <v>2</v>
      </c>
      <c r="K26" s="3" t="n">
        <f aca="false">INDEX(Weather_Data!$P$2:$P$73,MATCH($G26,Weather_Data!$J$2:$J$73,0))</f>
        <v>175</v>
      </c>
      <c r="L26" s="3" t="n">
        <f aca="false">INDEX(Weather_Data!$Q$2:$Q$73,MATCH($G26,Weather_Data!$J$2:$J$73,0))</f>
        <v>2</v>
      </c>
      <c r="M26" s="3" t="str">
        <f aca="false">INDEX(Shelter_Design!$I$2:$I$41,MATCH($B26,Shelter_Design!$A$2:$A$41,0))</f>
        <v>M15</v>
      </c>
      <c r="N26" s="3" t="n">
        <f aca="false">IFERROR(INDEX(Material_Properties!$D$2:$D$21,MATCH(M26,Material_Properties!$A$2:$A$21,0)),1)</f>
        <v>1</v>
      </c>
      <c r="O26" s="3" t="n">
        <f aca="false">INDEX(Shelter_Design!$M$2:$M$41,MATCH($B26,Shelter_Design!$A$2:$A$41,0))</f>
        <v>250</v>
      </c>
      <c r="P26" s="3" t="str">
        <f aca="false">INDEX(Shelter_Design!$L$2:$L$41,MATCH($B26,Shelter_Design!$A$2:$A$41,0))</f>
        <v>M11</v>
      </c>
      <c r="Q26" s="3" t="n">
        <f aca="false">IF(P26="None",0,IFERROR(INDEX(Material_Properties!$D$2:$D$21,MATCH(P26,Material_Properties!$A$2:$A$21,0)),0))</f>
        <v>0.025</v>
      </c>
      <c r="R26" s="3" t="n">
        <f aca="false">INDEX(Shelter_Design!$O$2:$O$41,MATCH($B26,Shelter_Design!$A$2:$A$41,0))</f>
        <v>100</v>
      </c>
      <c r="S26" s="3" t="n">
        <f aca="false">(O26/1000)/N26</f>
        <v>0.25</v>
      </c>
      <c r="T26" s="3" t="n">
        <f aca="false">IF(OR(P26="None",Q26=0),0,(R26/1000)/Q26)</f>
        <v>4</v>
      </c>
      <c r="U26" s="3" t="n">
        <v>0.17</v>
      </c>
      <c r="V26" s="3" t="n">
        <f aca="false">S26+T26+U26</f>
        <v>4.42</v>
      </c>
      <c r="W26" s="3" t="n">
        <f aca="false">1/V26</f>
        <v>0.226244343891403</v>
      </c>
      <c r="X26" s="3" t="n">
        <f aca="false">INDEX(Shelter_Design!$R$2:$R$41,MATCH($B26,Shelter_Design!$A$2:$A$41,0))</f>
        <v>27.6</v>
      </c>
      <c r="Y26" s="3" t="n">
        <f aca="false">INDEX(Shelter_Design!$P$2:$P$41,MATCH($B26,Shelter_Design!$A$2:$A$41,0))</f>
        <v>1.2</v>
      </c>
      <c r="Z26" s="3" t="n">
        <f aca="false">INDEX(Shelter_Design!$G$2:$G$41,MATCH($B26,Shelter_Design!$A$2:$A$41,0))</f>
        <v>21.6</v>
      </c>
      <c r="AA26" s="3" t="n">
        <f aca="false">INDEX(Shelter_Design!$S$2:$S$41,MATCH($B26,Shelter_Design!$A$2:$A$41,0))</f>
        <v>0.0416666666666667</v>
      </c>
      <c r="AB26" s="3" t="n">
        <f aca="false">INDEX(Shelter_Design!$Y$2:$Y$41,MATCH($B26,Shelter_Design!$A$2:$A$41,0))</f>
        <v>2</v>
      </c>
      <c r="AC26" s="3" t="str">
        <f aca="false">INDEX(Shelter_Design!$Z$2:$Z$41,MATCH($B26,Shelter_Design!$A$2:$A$41,0))</f>
        <v>Resting / sleeping</v>
      </c>
      <c r="AD26" s="3" t="n">
        <f aca="false">INDEX(Shelter_Design!$AA$2:$AA$41,MATCH($B26,Shelter_Design!$A$2:$A$41,0))</f>
        <v>1.75</v>
      </c>
      <c r="AE26" s="3" t="s">
        <v>304</v>
      </c>
    </row>
    <row r="27" customFormat="false" ht="15" hidden="false" customHeight="true" outlineLevel="0" collapsed="false">
      <c r="A27" s="3" t="s">
        <v>329</v>
      </c>
      <c r="B27" s="3" t="s">
        <v>233</v>
      </c>
      <c r="C27" s="3" t="s">
        <v>222</v>
      </c>
      <c r="D27" s="3" t="s">
        <v>303</v>
      </c>
      <c r="E27" s="3" t="s">
        <v>20</v>
      </c>
      <c r="F27" s="3" t="s">
        <v>22</v>
      </c>
      <c r="G27" s="3" t="str">
        <f aca="false">E27&amp;"-"&amp;F27</f>
        <v>Leh-January</v>
      </c>
      <c r="H27" s="3" t="n">
        <f aca="false">INDEX(Weather_Data!$K$2:$K$73,MATCH($G27,Weather_Data!$J$2:$J$73,0))</f>
        <v>-8</v>
      </c>
      <c r="I27" s="3" t="n">
        <f aca="false">INDEX(Weather_Data!$L$2:$L$73,MATCH($G27,Weather_Data!$J$2:$J$73,0))</f>
        <v>25</v>
      </c>
      <c r="J27" s="3" t="n">
        <f aca="false">INDEX(Weather_Data!$M$2:$M$73,MATCH($G27,Weather_Data!$J$2:$J$73,0))</f>
        <v>2</v>
      </c>
      <c r="K27" s="3" t="n">
        <f aca="false">INDEX(Weather_Data!$P$2:$P$73,MATCH($G27,Weather_Data!$J$2:$J$73,0))</f>
        <v>166.666666666667</v>
      </c>
      <c r="L27" s="3" t="n">
        <f aca="false">INDEX(Weather_Data!$Q$2:$Q$73,MATCH($G27,Weather_Data!$J$2:$J$73,0))</f>
        <v>5</v>
      </c>
      <c r="M27" s="3" t="str">
        <f aca="false">INDEX(Shelter_Design!$I$2:$I$41,MATCH($B27,Shelter_Design!$A$2:$A$41,0))</f>
        <v>M15</v>
      </c>
      <c r="N27" s="3" t="n">
        <f aca="false">IFERROR(INDEX(Material_Properties!$D$2:$D$21,MATCH(M27,Material_Properties!$A$2:$A$21,0)),1)</f>
        <v>1</v>
      </c>
      <c r="O27" s="3" t="n">
        <f aca="false">INDEX(Shelter_Design!$M$2:$M$41,MATCH($B27,Shelter_Design!$A$2:$A$41,0))</f>
        <v>250</v>
      </c>
      <c r="P27" s="3" t="str">
        <f aca="false">INDEX(Shelter_Design!$L$2:$L$41,MATCH($B27,Shelter_Design!$A$2:$A$41,0))</f>
        <v>M11</v>
      </c>
      <c r="Q27" s="3" t="n">
        <f aca="false">IF(P27="None",0,IFERROR(INDEX(Material_Properties!$D$2:$D$21,MATCH(P27,Material_Properties!$A$2:$A$21,0)),0))</f>
        <v>0.025</v>
      </c>
      <c r="R27" s="3" t="n">
        <f aca="false">INDEX(Shelter_Design!$O$2:$O$41,MATCH($B27,Shelter_Design!$A$2:$A$41,0))</f>
        <v>100</v>
      </c>
      <c r="S27" s="3" t="n">
        <f aca="false">(O27/1000)/N27</f>
        <v>0.25</v>
      </c>
      <c r="T27" s="3" t="n">
        <f aca="false">IF(OR(P27="None",Q27=0),0,(R27/1000)/Q27)</f>
        <v>4</v>
      </c>
      <c r="U27" s="3" t="n">
        <v>0.17</v>
      </c>
      <c r="V27" s="3" t="n">
        <f aca="false">S27+T27+U27</f>
        <v>4.42</v>
      </c>
      <c r="W27" s="3" t="n">
        <f aca="false">1/V27</f>
        <v>0.226244343891403</v>
      </c>
      <c r="X27" s="3" t="n">
        <f aca="false">INDEX(Shelter_Design!$R$2:$R$41,MATCH($B27,Shelter_Design!$A$2:$A$41,0))</f>
        <v>45</v>
      </c>
      <c r="Y27" s="3" t="n">
        <f aca="false">INDEX(Shelter_Design!$P$2:$P$41,MATCH($B27,Shelter_Design!$A$2:$A$41,0))</f>
        <v>1.8</v>
      </c>
      <c r="Z27" s="3" t="n">
        <f aca="false">INDEX(Shelter_Design!$G$2:$G$41,MATCH($B27,Shelter_Design!$A$2:$A$41,0))</f>
        <v>52</v>
      </c>
      <c r="AA27" s="3" t="n">
        <f aca="false">INDEX(Shelter_Design!$S$2:$S$41,MATCH($B27,Shelter_Design!$A$2:$A$41,0))</f>
        <v>0.0384615384615385</v>
      </c>
      <c r="AB27" s="3" t="n">
        <f aca="false">INDEX(Shelter_Design!$Y$2:$Y$41,MATCH($B27,Shelter_Design!$A$2:$A$41,0))</f>
        <v>5</v>
      </c>
      <c r="AC27" s="3" t="str">
        <f aca="false">INDEX(Shelter_Design!$Z$2:$Z$41,MATCH($B27,Shelter_Design!$A$2:$A$41,0))</f>
        <v>Resting / sleeping</v>
      </c>
      <c r="AD27" s="3" t="n">
        <f aca="false">INDEX(Shelter_Design!$AA$2:$AA$41,MATCH($B27,Shelter_Design!$A$2:$A$41,0))</f>
        <v>1.75</v>
      </c>
      <c r="AE27" s="3" t="s">
        <v>304</v>
      </c>
    </row>
    <row r="28" customFormat="false" ht="15" hidden="false" customHeight="true" outlineLevel="0" collapsed="false">
      <c r="A28" s="3" t="s">
        <v>330</v>
      </c>
      <c r="B28" s="3" t="s">
        <v>233</v>
      </c>
      <c r="C28" s="3" t="s">
        <v>222</v>
      </c>
      <c r="D28" s="3" t="s">
        <v>303</v>
      </c>
      <c r="E28" s="3" t="s">
        <v>20</v>
      </c>
      <c r="F28" s="3" t="s">
        <v>33</v>
      </c>
      <c r="G28" s="3" t="str">
        <f aca="false">E28&amp;"-"&amp;F28</f>
        <v>Leh-April</v>
      </c>
      <c r="H28" s="3" t="n">
        <f aca="false">INDEX(Weather_Data!$K$2:$K$73,MATCH($G28,Weather_Data!$J$2:$J$73,0))</f>
        <v>7</v>
      </c>
      <c r="I28" s="3" t="n">
        <f aca="false">INDEX(Weather_Data!$L$2:$L$73,MATCH($G28,Weather_Data!$J$2:$J$73,0))</f>
        <v>30</v>
      </c>
      <c r="J28" s="3" t="n">
        <f aca="false">INDEX(Weather_Data!$M$2:$M$73,MATCH($G28,Weather_Data!$J$2:$J$73,0))</f>
        <v>4</v>
      </c>
      <c r="K28" s="3" t="n">
        <f aca="false">INDEX(Weather_Data!$P$2:$P$73,MATCH($G28,Weather_Data!$J$2:$J$73,0))</f>
        <v>270.833333333333</v>
      </c>
      <c r="L28" s="3" t="n">
        <f aca="false">INDEX(Weather_Data!$Q$2:$Q$73,MATCH($G28,Weather_Data!$J$2:$J$73,0))</f>
        <v>10</v>
      </c>
      <c r="M28" s="3" t="str">
        <f aca="false">INDEX(Shelter_Design!$I$2:$I$41,MATCH($B28,Shelter_Design!$A$2:$A$41,0))</f>
        <v>M15</v>
      </c>
      <c r="N28" s="3" t="n">
        <f aca="false">IFERROR(INDEX(Material_Properties!$D$2:$D$21,MATCH(M28,Material_Properties!$A$2:$A$21,0)),1)</f>
        <v>1</v>
      </c>
      <c r="O28" s="3" t="n">
        <f aca="false">INDEX(Shelter_Design!$M$2:$M$41,MATCH($B28,Shelter_Design!$A$2:$A$41,0))</f>
        <v>250</v>
      </c>
      <c r="P28" s="3" t="str">
        <f aca="false">INDEX(Shelter_Design!$L$2:$L$41,MATCH($B28,Shelter_Design!$A$2:$A$41,0))</f>
        <v>M11</v>
      </c>
      <c r="Q28" s="3" t="n">
        <f aca="false">IF(P28="None",0,IFERROR(INDEX(Material_Properties!$D$2:$D$21,MATCH(P28,Material_Properties!$A$2:$A$21,0)),0))</f>
        <v>0.025</v>
      </c>
      <c r="R28" s="3" t="n">
        <f aca="false">INDEX(Shelter_Design!$O$2:$O$41,MATCH($B28,Shelter_Design!$A$2:$A$41,0))</f>
        <v>100</v>
      </c>
      <c r="S28" s="3" t="n">
        <f aca="false">(O28/1000)/N28</f>
        <v>0.25</v>
      </c>
      <c r="T28" s="3" t="n">
        <f aca="false">IF(OR(P28="None",Q28=0),0,(R28/1000)/Q28)</f>
        <v>4</v>
      </c>
      <c r="U28" s="3" t="n">
        <v>0.17</v>
      </c>
      <c r="V28" s="3" t="n">
        <f aca="false">S28+T28+U28</f>
        <v>4.42</v>
      </c>
      <c r="W28" s="3" t="n">
        <f aca="false">1/V28</f>
        <v>0.226244343891403</v>
      </c>
      <c r="X28" s="3" t="n">
        <f aca="false">INDEX(Shelter_Design!$R$2:$R$41,MATCH($B28,Shelter_Design!$A$2:$A$41,0))</f>
        <v>45</v>
      </c>
      <c r="Y28" s="3" t="n">
        <f aca="false">INDEX(Shelter_Design!$P$2:$P$41,MATCH($B28,Shelter_Design!$A$2:$A$41,0))</f>
        <v>1.8</v>
      </c>
      <c r="Z28" s="3" t="n">
        <f aca="false">INDEX(Shelter_Design!$G$2:$G$41,MATCH($B28,Shelter_Design!$A$2:$A$41,0))</f>
        <v>52</v>
      </c>
      <c r="AA28" s="3" t="n">
        <f aca="false">INDEX(Shelter_Design!$S$2:$S$41,MATCH($B28,Shelter_Design!$A$2:$A$41,0))</f>
        <v>0.0384615384615385</v>
      </c>
      <c r="AB28" s="3" t="n">
        <f aca="false">INDEX(Shelter_Design!$Y$2:$Y$41,MATCH($B28,Shelter_Design!$A$2:$A$41,0))</f>
        <v>5</v>
      </c>
      <c r="AC28" s="3" t="str">
        <f aca="false">INDEX(Shelter_Design!$Z$2:$Z$41,MATCH($B28,Shelter_Design!$A$2:$A$41,0))</f>
        <v>Resting / sleeping</v>
      </c>
      <c r="AD28" s="3" t="n">
        <f aca="false">INDEX(Shelter_Design!$AA$2:$AA$41,MATCH($B28,Shelter_Design!$A$2:$A$41,0))</f>
        <v>1.75</v>
      </c>
      <c r="AE28" s="3" t="s">
        <v>304</v>
      </c>
    </row>
    <row r="29" customFormat="false" ht="15" hidden="false" customHeight="true" outlineLevel="0" collapsed="false">
      <c r="A29" s="3" t="s">
        <v>331</v>
      </c>
      <c r="B29" s="3" t="s">
        <v>233</v>
      </c>
      <c r="C29" s="3" t="s">
        <v>222</v>
      </c>
      <c r="D29" s="3" t="s">
        <v>303</v>
      </c>
      <c r="E29" s="3" t="s">
        <v>20</v>
      </c>
      <c r="F29" s="3" t="s">
        <v>42</v>
      </c>
      <c r="G29" s="3" t="str">
        <f aca="false">E29&amp;"-"&amp;F29</f>
        <v>Leh-July</v>
      </c>
      <c r="H29" s="3" t="n">
        <f aca="false">INDEX(Weather_Data!$K$2:$K$73,MATCH($G29,Weather_Data!$J$2:$J$73,0))</f>
        <v>19</v>
      </c>
      <c r="I29" s="3" t="n">
        <f aca="false">INDEX(Weather_Data!$L$2:$L$73,MATCH($G29,Weather_Data!$J$2:$J$73,0))</f>
        <v>38</v>
      </c>
      <c r="J29" s="3" t="n">
        <f aca="false">INDEX(Weather_Data!$M$2:$M$73,MATCH($G29,Weather_Data!$J$2:$J$73,0))</f>
        <v>3</v>
      </c>
      <c r="K29" s="3" t="n">
        <f aca="false">INDEX(Weather_Data!$P$2:$P$73,MATCH($G29,Weather_Data!$J$2:$J$73,0))</f>
        <v>283.333333333333</v>
      </c>
      <c r="L29" s="3" t="n">
        <f aca="false">INDEX(Weather_Data!$Q$2:$Q$73,MATCH($G29,Weather_Data!$J$2:$J$73,0))</f>
        <v>15</v>
      </c>
      <c r="M29" s="3" t="str">
        <f aca="false">INDEX(Shelter_Design!$I$2:$I$41,MATCH($B29,Shelter_Design!$A$2:$A$41,0))</f>
        <v>M15</v>
      </c>
      <c r="N29" s="3" t="n">
        <f aca="false">IFERROR(INDEX(Material_Properties!$D$2:$D$21,MATCH(M29,Material_Properties!$A$2:$A$21,0)),1)</f>
        <v>1</v>
      </c>
      <c r="O29" s="3" t="n">
        <f aca="false">INDEX(Shelter_Design!$M$2:$M$41,MATCH($B29,Shelter_Design!$A$2:$A$41,0))</f>
        <v>250</v>
      </c>
      <c r="P29" s="3" t="str">
        <f aca="false">INDEX(Shelter_Design!$L$2:$L$41,MATCH($B29,Shelter_Design!$A$2:$A$41,0))</f>
        <v>M11</v>
      </c>
      <c r="Q29" s="3" t="n">
        <f aca="false">IF(P29="None",0,IFERROR(INDEX(Material_Properties!$D$2:$D$21,MATCH(P29,Material_Properties!$A$2:$A$21,0)),0))</f>
        <v>0.025</v>
      </c>
      <c r="R29" s="3" t="n">
        <f aca="false">INDEX(Shelter_Design!$O$2:$O$41,MATCH($B29,Shelter_Design!$A$2:$A$41,0))</f>
        <v>100</v>
      </c>
      <c r="S29" s="3" t="n">
        <f aca="false">(O29/1000)/N29</f>
        <v>0.25</v>
      </c>
      <c r="T29" s="3" t="n">
        <f aca="false">IF(OR(P29="None",Q29=0),0,(R29/1000)/Q29)</f>
        <v>4</v>
      </c>
      <c r="U29" s="3" t="n">
        <v>0.17</v>
      </c>
      <c r="V29" s="3" t="n">
        <f aca="false">S29+T29+U29</f>
        <v>4.42</v>
      </c>
      <c r="W29" s="3" t="n">
        <f aca="false">1/V29</f>
        <v>0.226244343891403</v>
      </c>
      <c r="X29" s="3" t="n">
        <f aca="false">INDEX(Shelter_Design!$R$2:$R$41,MATCH($B29,Shelter_Design!$A$2:$A$41,0))</f>
        <v>45</v>
      </c>
      <c r="Y29" s="3" t="n">
        <f aca="false">INDEX(Shelter_Design!$P$2:$P$41,MATCH($B29,Shelter_Design!$A$2:$A$41,0))</f>
        <v>1.8</v>
      </c>
      <c r="Z29" s="3" t="n">
        <f aca="false">INDEX(Shelter_Design!$G$2:$G$41,MATCH($B29,Shelter_Design!$A$2:$A$41,0))</f>
        <v>52</v>
      </c>
      <c r="AA29" s="3" t="n">
        <f aca="false">INDEX(Shelter_Design!$S$2:$S$41,MATCH($B29,Shelter_Design!$A$2:$A$41,0))</f>
        <v>0.0384615384615385</v>
      </c>
      <c r="AB29" s="3" t="n">
        <f aca="false">INDEX(Shelter_Design!$Y$2:$Y$41,MATCH($B29,Shelter_Design!$A$2:$A$41,0))</f>
        <v>5</v>
      </c>
      <c r="AC29" s="3" t="str">
        <f aca="false">INDEX(Shelter_Design!$Z$2:$Z$41,MATCH($B29,Shelter_Design!$A$2:$A$41,0))</f>
        <v>Resting / sleeping</v>
      </c>
      <c r="AD29" s="3" t="n">
        <f aca="false">INDEX(Shelter_Design!$AA$2:$AA$41,MATCH($B29,Shelter_Design!$A$2:$A$41,0))</f>
        <v>1.75</v>
      </c>
      <c r="AE29" s="3" t="s">
        <v>304</v>
      </c>
    </row>
    <row r="30" customFormat="false" ht="15" hidden="false" customHeight="true" outlineLevel="0" collapsed="false">
      <c r="A30" s="3" t="s">
        <v>332</v>
      </c>
      <c r="B30" s="3" t="s">
        <v>233</v>
      </c>
      <c r="C30" s="3" t="s">
        <v>222</v>
      </c>
      <c r="D30" s="3" t="s">
        <v>303</v>
      </c>
      <c r="E30" s="3" t="s">
        <v>20</v>
      </c>
      <c r="F30" s="3" t="s">
        <v>46</v>
      </c>
      <c r="G30" s="3" t="str">
        <f aca="false">E30&amp;"-"&amp;F30</f>
        <v>Leh-September</v>
      </c>
      <c r="H30" s="3" t="n">
        <f aca="false">INDEX(Weather_Data!$K$2:$K$73,MATCH($G30,Weather_Data!$J$2:$J$73,0))</f>
        <v>14</v>
      </c>
      <c r="I30" s="3" t="n">
        <f aca="false">INDEX(Weather_Data!$L$2:$L$73,MATCH($G30,Weather_Data!$J$2:$J$73,0))</f>
        <v>35</v>
      </c>
      <c r="J30" s="3" t="n">
        <f aca="false">INDEX(Weather_Data!$M$2:$M$73,MATCH($G30,Weather_Data!$J$2:$J$73,0))</f>
        <v>3</v>
      </c>
      <c r="K30" s="3" t="n">
        <f aca="false">INDEX(Weather_Data!$P$2:$P$73,MATCH($G30,Weather_Data!$J$2:$J$73,0))</f>
        <v>250</v>
      </c>
      <c r="L30" s="3" t="n">
        <f aca="false">INDEX(Weather_Data!$Q$2:$Q$73,MATCH($G30,Weather_Data!$J$2:$J$73,0))</f>
        <v>8</v>
      </c>
      <c r="M30" s="3" t="str">
        <f aca="false">INDEX(Shelter_Design!$I$2:$I$41,MATCH($B30,Shelter_Design!$A$2:$A$41,0))</f>
        <v>M15</v>
      </c>
      <c r="N30" s="3" t="n">
        <f aca="false">IFERROR(INDEX(Material_Properties!$D$2:$D$21,MATCH(M30,Material_Properties!$A$2:$A$21,0)),1)</f>
        <v>1</v>
      </c>
      <c r="O30" s="3" t="n">
        <f aca="false">INDEX(Shelter_Design!$M$2:$M$41,MATCH($B30,Shelter_Design!$A$2:$A$41,0))</f>
        <v>250</v>
      </c>
      <c r="P30" s="3" t="str">
        <f aca="false">INDEX(Shelter_Design!$L$2:$L$41,MATCH($B30,Shelter_Design!$A$2:$A$41,0))</f>
        <v>M11</v>
      </c>
      <c r="Q30" s="3" t="n">
        <f aca="false">IF(P30="None",0,IFERROR(INDEX(Material_Properties!$D$2:$D$21,MATCH(P30,Material_Properties!$A$2:$A$21,0)),0))</f>
        <v>0.025</v>
      </c>
      <c r="R30" s="3" t="n">
        <f aca="false">INDEX(Shelter_Design!$O$2:$O$41,MATCH($B30,Shelter_Design!$A$2:$A$41,0))</f>
        <v>100</v>
      </c>
      <c r="S30" s="3" t="n">
        <f aca="false">(O30/1000)/N30</f>
        <v>0.25</v>
      </c>
      <c r="T30" s="3" t="n">
        <f aca="false">IF(OR(P30="None",Q30=0),0,(R30/1000)/Q30)</f>
        <v>4</v>
      </c>
      <c r="U30" s="3" t="n">
        <v>0.17</v>
      </c>
      <c r="V30" s="3" t="n">
        <f aca="false">S30+T30+U30</f>
        <v>4.42</v>
      </c>
      <c r="W30" s="3" t="n">
        <f aca="false">1/V30</f>
        <v>0.226244343891403</v>
      </c>
      <c r="X30" s="3" t="n">
        <f aca="false">INDEX(Shelter_Design!$R$2:$R$41,MATCH($B30,Shelter_Design!$A$2:$A$41,0))</f>
        <v>45</v>
      </c>
      <c r="Y30" s="3" t="n">
        <f aca="false">INDEX(Shelter_Design!$P$2:$P$41,MATCH($B30,Shelter_Design!$A$2:$A$41,0))</f>
        <v>1.8</v>
      </c>
      <c r="Z30" s="3" t="n">
        <f aca="false">INDEX(Shelter_Design!$G$2:$G$41,MATCH($B30,Shelter_Design!$A$2:$A$41,0))</f>
        <v>52</v>
      </c>
      <c r="AA30" s="3" t="n">
        <f aca="false">INDEX(Shelter_Design!$S$2:$S$41,MATCH($B30,Shelter_Design!$A$2:$A$41,0))</f>
        <v>0.0384615384615385</v>
      </c>
      <c r="AB30" s="3" t="n">
        <f aca="false">INDEX(Shelter_Design!$Y$2:$Y$41,MATCH($B30,Shelter_Design!$A$2:$A$41,0))</f>
        <v>5</v>
      </c>
      <c r="AC30" s="3" t="str">
        <f aca="false">INDEX(Shelter_Design!$Z$2:$Z$41,MATCH($B30,Shelter_Design!$A$2:$A$41,0))</f>
        <v>Resting / sleeping</v>
      </c>
      <c r="AD30" s="3" t="n">
        <f aca="false">INDEX(Shelter_Design!$AA$2:$AA$41,MATCH($B30,Shelter_Design!$A$2:$A$41,0))</f>
        <v>1.75</v>
      </c>
      <c r="AE30" s="3" t="s">
        <v>304</v>
      </c>
    </row>
    <row r="31" customFormat="false" ht="15" hidden="false" customHeight="true" outlineLevel="0" collapsed="false">
      <c r="A31" s="3" t="s">
        <v>333</v>
      </c>
      <c r="B31" s="3" t="s">
        <v>233</v>
      </c>
      <c r="C31" s="3" t="s">
        <v>222</v>
      </c>
      <c r="D31" s="3" t="s">
        <v>303</v>
      </c>
      <c r="E31" s="3" t="s">
        <v>20</v>
      </c>
      <c r="F31" s="3" t="s">
        <v>51</v>
      </c>
      <c r="G31" s="3" t="str">
        <f aca="false">E31&amp;"-"&amp;F31</f>
        <v>Leh-November</v>
      </c>
      <c r="H31" s="3" t="n">
        <f aca="false">INDEX(Weather_Data!$K$2:$K$73,MATCH($G31,Weather_Data!$J$2:$J$73,0))</f>
        <v>-1</v>
      </c>
      <c r="I31" s="3" t="n">
        <f aca="false">INDEX(Weather_Data!$L$2:$L$73,MATCH($G31,Weather_Data!$J$2:$J$73,0))</f>
        <v>27</v>
      </c>
      <c r="J31" s="3" t="n">
        <f aca="false">INDEX(Weather_Data!$M$2:$M$73,MATCH($G31,Weather_Data!$J$2:$J$73,0))</f>
        <v>2</v>
      </c>
      <c r="K31" s="3" t="n">
        <f aca="false">INDEX(Weather_Data!$P$2:$P$73,MATCH($G31,Weather_Data!$J$2:$J$73,0))</f>
        <v>175</v>
      </c>
      <c r="L31" s="3" t="n">
        <f aca="false">INDEX(Weather_Data!$Q$2:$Q$73,MATCH($G31,Weather_Data!$J$2:$J$73,0))</f>
        <v>2</v>
      </c>
      <c r="M31" s="3" t="str">
        <f aca="false">INDEX(Shelter_Design!$I$2:$I$41,MATCH($B31,Shelter_Design!$A$2:$A$41,0))</f>
        <v>M15</v>
      </c>
      <c r="N31" s="3" t="n">
        <f aca="false">IFERROR(INDEX(Material_Properties!$D$2:$D$21,MATCH(M31,Material_Properties!$A$2:$A$21,0)),1)</f>
        <v>1</v>
      </c>
      <c r="O31" s="3" t="n">
        <f aca="false">INDEX(Shelter_Design!$M$2:$M$41,MATCH($B31,Shelter_Design!$A$2:$A$41,0))</f>
        <v>250</v>
      </c>
      <c r="P31" s="3" t="str">
        <f aca="false">INDEX(Shelter_Design!$L$2:$L$41,MATCH($B31,Shelter_Design!$A$2:$A$41,0))</f>
        <v>M11</v>
      </c>
      <c r="Q31" s="3" t="n">
        <f aca="false">IF(P31="None",0,IFERROR(INDEX(Material_Properties!$D$2:$D$21,MATCH(P31,Material_Properties!$A$2:$A$21,0)),0))</f>
        <v>0.025</v>
      </c>
      <c r="R31" s="3" t="n">
        <f aca="false">INDEX(Shelter_Design!$O$2:$O$41,MATCH($B31,Shelter_Design!$A$2:$A$41,0))</f>
        <v>100</v>
      </c>
      <c r="S31" s="3" t="n">
        <f aca="false">(O31/1000)/N31</f>
        <v>0.25</v>
      </c>
      <c r="T31" s="3" t="n">
        <f aca="false">IF(OR(P31="None",Q31=0),0,(R31/1000)/Q31)</f>
        <v>4</v>
      </c>
      <c r="U31" s="3" t="n">
        <v>0.17</v>
      </c>
      <c r="V31" s="3" t="n">
        <f aca="false">S31+T31+U31</f>
        <v>4.42</v>
      </c>
      <c r="W31" s="3" t="n">
        <f aca="false">1/V31</f>
        <v>0.226244343891403</v>
      </c>
      <c r="X31" s="3" t="n">
        <f aca="false">INDEX(Shelter_Design!$R$2:$R$41,MATCH($B31,Shelter_Design!$A$2:$A$41,0))</f>
        <v>45</v>
      </c>
      <c r="Y31" s="3" t="n">
        <f aca="false">INDEX(Shelter_Design!$P$2:$P$41,MATCH($B31,Shelter_Design!$A$2:$A$41,0))</f>
        <v>1.8</v>
      </c>
      <c r="Z31" s="3" t="n">
        <f aca="false">INDEX(Shelter_Design!$G$2:$G$41,MATCH($B31,Shelter_Design!$A$2:$A$41,0))</f>
        <v>52</v>
      </c>
      <c r="AA31" s="3" t="n">
        <f aca="false">INDEX(Shelter_Design!$S$2:$S$41,MATCH($B31,Shelter_Design!$A$2:$A$41,0))</f>
        <v>0.0384615384615385</v>
      </c>
      <c r="AB31" s="3" t="n">
        <f aca="false">INDEX(Shelter_Design!$Y$2:$Y$41,MATCH($B31,Shelter_Design!$A$2:$A$41,0))</f>
        <v>5</v>
      </c>
      <c r="AC31" s="3" t="str">
        <f aca="false">INDEX(Shelter_Design!$Z$2:$Z$41,MATCH($B31,Shelter_Design!$A$2:$A$41,0))</f>
        <v>Resting / sleeping</v>
      </c>
      <c r="AD31" s="3" t="n">
        <f aca="false">INDEX(Shelter_Design!$AA$2:$AA$41,MATCH($B31,Shelter_Design!$A$2:$A$41,0))</f>
        <v>1.75</v>
      </c>
      <c r="AE31" s="3" t="s">
        <v>304</v>
      </c>
    </row>
    <row r="32" customFormat="false" ht="15" hidden="false" customHeight="true" outlineLevel="0" collapsed="false">
      <c r="A32" s="3" t="s">
        <v>334</v>
      </c>
      <c r="B32" s="3" t="s">
        <v>234</v>
      </c>
      <c r="C32" s="3" t="s">
        <v>222</v>
      </c>
      <c r="D32" s="3" t="s">
        <v>303</v>
      </c>
      <c r="E32" s="3" t="s">
        <v>20</v>
      </c>
      <c r="F32" s="3" t="s">
        <v>22</v>
      </c>
      <c r="G32" s="3" t="str">
        <f aca="false">E32&amp;"-"&amp;F32</f>
        <v>Leh-January</v>
      </c>
      <c r="H32" s="3" t="n">
        <f aca="false">INDEX(Weather_Data!$K$2:$K$73,MATCH($G32,Weather_Data!$J$2:$J$73,0))</f>
        <v>-8</v>
      </c>
      <c r="I32" s="3" t="n">
        <f aca="false">INDEX(Weather_Data!$L$2:$L$73,MATCH($G32,Weather_Data!$J$2:$J$73,0))</f>
        <v>25</v>
      </c>
      <c r="J32" s="3" t="n">
        <f aca="false">INDEX(Weather_Data!$M$2:$M$73,MATCH($G32,Weather_Data!$J$2:$J$73,0))</f>
        <v>2</v>
      </c>
      <c r="K32" s="3" t="n">
        <f aca="false">INDEX(Weather_Data!$P$2:$P$73,MATCH($G32,Weather_Data!$J$2:$J$73,0))</f>
        <v>166.666666666667</v>
      </c>
      <c r="L32" s="3" t="n">
        <f aca="false">INDEX(Weather_Data!$Q$2:$Q$73,MATCH($G32,Weather_Data!$J$2:$J$73,0))</f>
        <v>5</v>
      </c>
      <c r="M32" s="3" t="str">
        <f aca="false">INDEX(Shelter_Design!$I$2:$I$41,MATCH($B32,Shelter_Design!$A$2:$A$41,0))</f>
        <v>M15</v>
      </c>
      <c r="N32" s="3" t="n">
        <f aca="false">IFERROR(INDEX(Material_Properties!$D$2:$D$21,MATCH(M32,Material_Properties!$A$2:$A$21,0)),1)</f>
        <v>1</v>
      </c>
      <c r="O32" s="3" t="n">
        <f aca="false">INDEX(Shelter_Design!$M$2:$M$41,MATCH($B32,Shelter_Design!$A$2:$A$41,0))</f>
        <v>250</v>
      </c>
      <c r="P32" s="3" t="str">
        <f aca="false">INDEX(Shelter_Design!$L$2:$L$41,MATCH($B32,Shelter_Design!$A$2:$A$41,0))</f>
        <v>M09</v>
      </c>
      <c r="Q32" s="3" t="n">
        <f aca="false">IF(P32="None",0,IFERROR(INDEX(Material_Properties!$D$2:$D$21,MATCH(P32,Material_Properties!$A$2:$A$21,0)),0))</f>
        <v>0.04</v>
      </c>
      <c r="R32" s="3" t="n">
        <f aca="false">INDEX(Shelter_Design!$O$2:$O$41,MATCH($B32,Shelter_Design!$A$2:$A$41,0))</f>
        <v>150</v>
      </c>
      <c r="S32" s="3" t="n">
        <f aca="false">(O32/1000)/N32</f>
        <v>0.25</v>
      </c>
      <c r="T32" s="3" t="n">
        <f aca="false">IF(OR(P32="None",Q32=0),0,(R32/1000)/Q32)</f>
        <v>3.75</v>
      </c>
      <c r="U32" s="3" t="n">
        <v>0.17</v>
      </c>
      <c r="V32" s="3" t="n">
        <f aca="false">S32+T32+U32</f>
        <v>4.17</v>
      </c>
      <c r="W32" s="3" t="n">
        <f aca="false">1/V32</f>
        <v>0.239808153477218</v>
      </c>
      <c r="X32" s="3" t="n">
        <f aca="false">INDEX(Shelter_Design!$R$2:$R$41,MATCH($B32,Shelter_Design!$A$2:$A$41,0))</f>
        <v>27.6</v>
      </c>
      <c r="Y32" s="3" t="n">
        <f aca="false">INDEX(Shelter_Design!$P$2:$P$41,MATCH($B32,Shelter_Design!$A$2:$A$41,0))</f>
        <v>1.2</v>
      </c>
      <c r="Z32" s="3" t="n">
        <f aca="false">INDEX(Shelter_Design!$G$2:$G$41,MATCH($B32,Shelter_Design!$A$2:$A$41,0))</f>
        <v>21.6</v>
      </c>
      <c r="AA32" s="3" t="n">
        <f aca="false">INDEX(Shelter_Design!$S$2:$S$41,MATCH($B32,Shelter_Design!$A$2:$A$41,0))</f>
        <v>0.0416666666666667</v>
      </c>
      <c r="AB32" s="3" t="n">
        <f aca="false">INDEX(Shelter_Design!$Y$2:$Y$41,MATCH($B32,Shelter_Design!$A$2:$A$41,0))</f>
        <v>2</v>
      </c>
      <c r="AC32" s="3" t="str">
        <f aca="false">INDEX(Shelter_Design!$Z$2:$Z$41,MATCH($B32,Shelter_Design!$A$2:$A$41,0))</f>
        <v>Resting / sleeping</v>
      </c>
      <c r="AD32" s="3" t="n">
        <f aca="false">INDEX(Shelter_Design!$AA$2:$AA$41,MATCH($B32,Shelter_Design!$A$2:$A$41,0))</f>
        <v>1.75</v>
      </c>
      <c r="AE32" s="3" t="s">
        <v>304</v>
      </c>
    </row>
    <row r="33" customFormat="false" ht="15" hidden="false" customHeight="true" outlineLevel="0" collapsed="false">
      <c r="A33" s="3" t="s">
        <v>335</v>
      </c>
      <c r="B33" s="3" t="s">
        <v>234</v>
      </c>
      <c r="C33" s="3" t="s">
        <v>222</v>
      </c>
      <c r="D33" s="3" t="s">
        <v>303</v>
      </c>
      <c r="E33" s="3" t="s">
        <v>20</v>
      </c>
      <c r="F33" s="3" t="s">
        <v>33</v>
      </c>
      <c r="G33" s="3" t="str">
        <f aca="false">E33&amp;"-"&amp;F33</f>
        <v>Leh-April</v>
      </c>
      <c r="H33" s="3" t="n">
        <f aca="false">INDEX(Weather_Data!$K$2:$K$73,MATCH($G33,Weather_Data!$J$2:$J$73,0))</f>
        <v>7</v>
      </c>
      <c r="I33" s="3" t="n">
        <f aca="false">INDEX(Weather_Data!$L$2:$L$73,MATCH($G33,Weather_Data!$J$2:$J$73,0))</f>
        <v>30</v>
      </c>
      <c r="J33" s="3" t="n">
        <f aca="false">INDEX(Weather_Data!$M$2:$M$73,MATCH($G33,Weather_Data!$J$2:$J$73,0))</f>
        <v>4</v>
      </c>
      <c r="K33" s="3" t="n">
        <f aca="false">INDEX(Weather_Data!$P$2:$P$73,MATCH($G33,Weather_Data!$J$2:$J$73,0))</f>
        <v>270.833333333333</v>
      </c>
      <c r="L33" s="3" t="n">
        <f aca="false">INDEX(Weather_Data!$Q$2:$Q$73,MATCH($G33,Weather_Data!$J$2:$J$73,0))</f>
        <v>10</v>
      </c>
      <c r="M33" s="3" t="str">
        <f aca="false">INDEX(Shelter_Design!$I$2:$I$41,MATCH($B33,Shelter_Design!$A$2:$A$41,0))</f>
        <v>M15</v>
      </c>
      <c r="N33" s="3" t="n">
        <f aca="false">IFERROR(INDEX(Material_Properties!$D$2:$D$21,MATCH(M33,Material_Properties!$A$2:$A$21,0)),1)</f>
        <v>1</v>
      </c>
      <c r="O33" s="3" t="n">
        <f aca="false">INDEX(Shelter_Design!$M$2:$M$41,MATCH($B33,Shelter_Design!$A$2:$A$41,0))</f>
        <v>250</v>
      </c>
      <c r="P33" s="3" t="str">
        <f aca="false">INDEX(Shelter_Design!$L$2:$L$41,MATCH($B33,Shelter_Design!$A$2:$A$41,0))</f>
        <v>M09</v>
      </c>
      <c r="Q33" s="3" t="n">
        <f aca="false">IF(P33="None",0,IFERROR(INDEX(Material_Properties!$D$2:$D$21,MATCH(P33,Material_Properties!$A$2:$A$21,0)),0))</f>
        <v>0.04</v>
      </c>
      <c r="R33" s="3" t="n">
        <f aca="false">INDEX(Shelter_Design!$O$2:$O$41,MATCH($B33,Shelter_Design!$A$2:$A$41,0))</f>
        <v>150</v>
      </c>
      <c r="S33" s="3" t="n">
        <f aca="false">(O33/1000)/N33</f>
        <v>0.25</v>
      </c>
      <c r="T33" s="3" t="n">
        <f aca="false">IF(OR(P33="None",Q33=0),0,(R33/1000)/Q33)</f>
        <v>3.75</v>
      </c>
      <c r="U33" s="3" t="n">
        <v>0.17</v>
      </c>
      <c r="V33" s="3" t="n">
        <f aca="false">S33+T33+U33</f>
        <v>4.17</v>
      </c>
      <c r="W33" s="3" t="n">
        <f aca="false">1/V33</f>
        <v>0.239808153477218</v>
      </c>
      <c r="X33" s="3" t="n">
        <f aca="false">INDEX(Shelter_Design!$R$2:$R$41,MATCH($B33,Shelter_Design!$A$2:$A$41,0))</f>
        <v>27.6</v>
      </c>
      <c r="Y33" s="3" t="n">
        <f aca="false">INDEX(Shelter_Design!$P$2:$P$41,MATCH($B33,Shelter_Design!$A$2:$A$41,0))</f>
        <v>1.2</v>
      </c>
      <c r="Z33" s="3" t="n">
        <f aca="false">INDEX(Shelter_Design!$G$2:$G$41,MATCH($B33,Shelter_Design!$A$2:$A$41,0))</f>
        <v>21.6</v>
      </c>
      <c r="AA33" s="3" t="n">
        <f aca="false">INDEX(Shelter_Design!$S$2:$S$41,MATCH($B33,Shelter_Design!$A$2:$A$41,0))</f>
        <v>0.0416666666666667</v>
      </c>
      <c r="AB33" s="3" t="n">
        <f aca="false">INDEX(Shelter_Design!$Y$2:$Y$41,MATCH($B33,Shelter_Design!$A$2:$A$41,0))</f>
        <v>2</v>
      </c>
      <c r="AC33" s="3" t="str">
        <f aca="false">INDEX(Shelter_Design!$Z$2:$Z$41,MATCH($B33,Shelter_Design!$A$2:$A$41,0))</f>
        <v>Resting / sleeping</v>
      </c>
      <c r="AD33" s="3" t="n">
        <f aca="false">INDEX(Shelter_Design!$AA$2:$AA$41,MATCH($B33,Shelter_Design!$A$2:$A$41,0))</f>
        <v>1.75</v>
      </c>
      <c r="AE33" s="3" t="s">
        <v>304</v>
      </c>
    </row>
    <row r="34" customFormat="false" ht="15" hidden="false" customHeight="true" outlineLevel="0" collapsed="false">
      <c r="A34" s="3" t="s">
        <v>336</v>
      </c>
      <c r="B34" s="3" t="s">
        <v>234</v>
      </c>
      <c r="C34" s="3" t="s">
        <v>222</v>
      </c>
      <c r="D34" s="3" t="s">
        <v>303</v>
      </c>
      <c r="E34" s="3" t="s">
        <v>20</v>
      </c>
      <c r="F34" s="3" t="s">
        <v>42</v>
      </c>
      <c r="G34" s="3" t="str">
        <f aca="false">E34&amp;"-"&amp;F34</f>
        <v>Leh-July</v>
      </c>
      <c r="H34" s="3" t="n">
        <f aca="false">INDEX(Weather_Data!$K$2:$K$73,MATCH($G34,Weather_Data!$J$2:$J$73,0))</f>
        <v>19</v>
      </c>
      <c r="I34" s="3" t="n">
        <f aca="false">INDEX(Weather_Data!$L$2:$L$73,MATCH($G34,Weather_Data!$J$2:$J$73,0))</f>
        <v>38</v>
      </c>
      <c r="J34" s="3" t="n">
        <f aca="false">INDEX(Weather_Data!$M$2:$M$73,MATCH($G34,Weather_Data!$J$2:$J$73,0))</f>
        <v>3</v>
      </c>
      <c r="K34" s="3" t="n">
        <f aca="false">INDEX(Weather_Data!$P$2:$P$73,MATCH($G34,Weather_Data!$J$2:$J$73,0))</f>
        <v>283.333333333333</v>
      </c>
      <c r="L34" s="3" t="n">
        <f aca="false">INDEX(Weather_Data!$Q$2:$Q$73,MATCH($G34,Weather_Data!$J$2:$J$73,0))</f>
        <v>15</v>
      </c>
      <c r="M34" s="3" t="str">
        <f aca="false">INDEX(Shelter_Design!$I$2:$I$41,MATCH($B34,Shelter_Design!$A$2:$A$41,0))</f>
        <v>M15</v>
      </c>
      <c r="N34" s="3" t="n">
        <f aca="false">IFERROR(INDEX(Material_Properties!$D$2:$D$21,MATCH(M34,Material_Properties!$A$2:$A$21,0)),1)</f>
        <v>1</v>
      </c>
      <c r="O34" s="3" t="n">
        <f aca="false">INDEX(Shelter_Design!$M$2:$M$41,MATCH($B34,Shelter_Design!$A$2:$A$41,0))</f>
        <v>250</v>
      </c>
      <c r="P34" s="3" t="str">
        <f aca="false">INDEX(Shelter_Design!$L$2:$L$41,MATCH($B34,Shelter_Design!$A$2:$A$41,0))</f>
        <v>M09</v>
      </c>
      <c r="Q34" s="3" t="n">
        <f aca="false">IF(P34="None",0,IFERROR(INDEX(Material_Properties!$D$2:$D$21,MATCH(P34,Material_Properties!$A$2:$A$21,0)),0))</f>
        <v>0.04</v>
      </c>
      <c r="R34" s="3" t="n">
        <f aca="false">INDEX(Shelter_Design!$O$2:$O$41,MATCH($B34,Shelter_Design!$A$2:$A$41,0))</f>
        <v>150</v>
      </c>
      <c r="S34" s="3" t="n">
        <f aca="false">(O34/1000)/N34</f>
        <v>0.25</v>
      </c>
      <c r="T34" s="3" t="n">
        <f aca="false">IF(OR(P34="None",Q34=0),0,(R34/1000)/Q34)</f>
        <v>3.75</v>
      </c>
      <c r="U34" s="3" t="n">
        <v>0.17</v>
      </c>
      <c r="V34" s="3" t="n">
        <f aca="false">S34+T34+U34</f>
        <v>4.17</v>
      </c>
      <c r="W34" s="3" t="n">
        <f aca="false">1/V34</f>
        <v>0.239808153477218</v>
      </c>
      <c r="X34" s="3" t="n">
        <f aca="false">INDEX(Shelter_Design!$R$2:$R$41,MATCH($B34,Shelter_Design!$A$2:$A$41,0))</f>
        <v>27.6</v>
      </c>
      <c r="Y34" s="3" t="n">
        <f aca="false">INDEX(Shelter_Design!$P$2:$P$41,MATCH($B34,Shelter_Design!$A$2:$A$41,0))</f>
        <v>1.2</v>
      </c>
      <c r="Z34" s="3" t="n">
        <f aca="false">INDEX(Shelter_Design!$G$2:$G$41,MATCH($B34,Shelter_Design!$A$2:$A$41,0))</f>
        <v>21.6</v>
      </c>
      <c r="AA34" s="3" t="n">
        <f aca="false">INDEX(Shelter_Design!$S$2:$S$41,MATCH($B34,Shelter_Design!$A$2:$A$41,0))</f>
        <v>0.0416666666666667</v>
      </c>
      <c r="AB34" s="3" t="n">
        <f aca="false">INDEX(Shelter_Design!$Y$2:$Y$41,MATCH($B34,Shelter_Design!$A$2:$A$41,0))</f>
        <v>2</v>
      </c>
      <c r="AC34" s="3" t="str">
        <f aca="false">INDEX(Shelter_Design!$Z$2:$Z$41,MATCH($B34,Shelter_Design!$A$2:$A$41,0))</f>
        <v>Resting / sleeping</v>
      </c>
      <c r="AD34" s="3" t="n">
        <f aca="false">INDEX(Shelter_Design!$AA$2:$AA$41,MATCH($B34,Shelter_Design!$A$2:$A$41,0))</f>
        <v>1.75</v>
      </c>
      <c r="AE34" s="3" t="s">
        <v>304</v>
      </c>
    </row>
    <row r="35" customFormat="false" ht="15" hidden="false" customHeight="true" outlineLevel="0" collapsed="false">
      <c r="A35" s="3" t="s">
        <v>337</v>
      </c>
      <c r="B35" s="3" t="s">
        <v>234</v>
      </c>
      <c r="C35" s="3" t="s">
        <v>222</v>
      </c>
      <c r="D35" s="3" t="s">
        <v>303</v>
      </c>
      <c r="E35" s="3" t="s">
        <v>20</v>
      </c>
      <c r="F35" s="3" t="s">
        <v>46</v>
      </c>
      <c r="G35" s="3" t="str">
        <f aca="false">E35&amp;"-"&amp;F35</f>
        <v>Leh-September</v>
      </c>
      <c r="H35" s="3" t="n">
        <f aca="false">INDEX(Weather_Data!$K$2:$K$73,MATCH($G35,Weather_Data!$J$2:$J$73,0))</f>
        <v>14</v>
      </c>
      <c r="I35" s="3" t="n">
        <f aca="false">INDEX(Weather_Data!$L$2:$L$73,MATCH($G35,Weather_Data!$J$2:$J$73,0))</f>
        <v>35</v>
      </c>
      <c r="J35" s="3" t="n">
        <f aca="false">INDEX(Weather_Data!$M$2:$M$73,MATCH($G35,Weather_Data!$J$2:$J$73,0))</f>
        <v>3</v>
      </c>
      <c r="K35" s="3" t="n">
        <f aca="false">INDEX(Weather_Data!$P$2:$P$73,MATCH($G35,Weather_Data!$J$2:$J$73,0))</f>
        <v>250</v>
      </c>
      <c r="L35" s="3" t="n">
        <f aca="false">INDEX(Weather_Data!$Q$2:$Q$73,MATCH($G35,Weather_Data!$J$2:$J$73,0))</f>
        <v>8</v>
      </c>
      <c r="M35" s="3" t="str">
        <f aca="false">INDEX(Shelter_Design!$I$2:$I$41,MATCH($B35,Shelter_Design!$A$2:$A$41,0))</f>
        <v>M15</v>
      </c>
      <c r="N35" s="3" t="n">
        <f aca="false">IFERROR(INDEX(Material_Properties!$D$2:$D$21,MATCH(M35,Material_Properties!$A$2:$A$21,0)),1)</f>
        <v>1</v>
      </c>
      <c r="O35" s="3" t="n">
        <f aca="false">INDEX(Shelter_Design!$M$2:$M$41,MATCH($B35,Shelter_Design!$A$2:$A$41,0))</f>
        <v>250</v>
      </c>
      <c r="P35" s="3" t="str">
        <f aca="false">INDEX(Shelter_Design!$L$2:$L$41,MATCH($B35,Shelter_Design!$A$2:$A$41,0))</f>
        <v>M09</v>
      </c>
      <c r="Q35" s="3" t="n">
        <f aca="false">IF(P35="None",0,IFERROR(INDEX(Material_Properties!$D$2:$D$21,MATCH(P35,Material_Properties!$A$2:$A$21,0)),0))</f>
        <v>0.04</v>
      </c>
      <c r="R35" s="3" t="n">
        <f aca="false">INDEX(Shelter_Design!$O$2:$O$41,MATCH($B35,Shelter_Design!$A$2:$A$41,0))</f>
        <v>150</v>
      </c>
      <c r="S35" s="3" t="n">
        <f aca="false">(O35/1000)/N35</f>
        <v>0.25</v>
      </c>
      <c r="T35" s="3" t="n">
        <f aca="false">IF(OR(P35="None",Q35=0),0,(R35/1000)/Q35)</f>
        <v>3.75</v>
      </c>
      <c r="U35" s="3" t="n">
        <v>0.17</v>
      </c>
      <c r="V35" s="3" t="n">
        <f aca="false">S35+T35+U35</f>
        <v>4.17</v>
      </c>
      <c r="W35" s="3" t="n">
        <f aca="false">1/V35</f>
        <v>0.239808153477218</v>
      </c>
      <c r="X35" s="3" t="n">
        <f aca="false">INDEX(Shelter_Design!$R$2:$R$41,MATCH($B35,Shelter_Design!$A$2:$A$41,0))</f>
        <v>27.6</v>
      </c>
      <c r="Y35" s="3" t="n">
        <f aca="false">INDEX(Shelter_Design!$P$2:$P$41,MATCH($B35,Shelter_Design!$A$2:$A$41,0))</f>
        <v>1.2</v>
      </c>
      <c r="Z35" s="3" t="n">
        <f aca="false">INDEX(Shelter_Design!$G$2:$G$41,MATCH($B35,Shelter_Design!$A$2:$A$41,0))</f>
        <v>21.6</v>
      </c>
      <c r="AA35" s="3" t="n">
        <f aca="false">INDEX(Shelter_Design!$S$2:$S$41,MATCH($B35,Shelter_Design!$A$2:$A$41,0))</f>
        <v>0.0416666666666667</v>
      </c>
      <c r="AB35" s="3" t="n">
        <f aca="false">INDEX(Shelter_Design!$Y$2:$Y$41,MATCH($B35,Shelter_Design!$A$2:$A$41,0))</f>
        <v>2</v>
      </c>
      <c r="AC35" s="3" t="str">
        <f aca="false">INDEX(Shelter_Design!$Z$2:$Z$41,MATCH($B35,Shelter_Design!$A$2:$A$41,0))</f>
        <v>Resting / sleeping</v>
      </c>
      <c r="AD35" s="3" t="n">
        <f aca="false">INDEX(Shelter_Design!$AA$2:$AA$41,MATCH($B35,Shelter_Design!$A$2:$A$41,0))</f>
        <v>1.75</v>
      </c>
      <c r="AE35" s="3" t="s">
        <v>304</v>
      </c>
    </row>
    <row r="36" customFormat="false" ht="15" hidden="false" customHeight="true" outlineLevel="0" collapsed="false">
      <c r="A36" s="3" t="s">
        <v>338</v>
      </c>
      <c r="B36" s="3" t="s">
        <v>234</v>
      </c>
      <c r="C36" s="3" t="s">
        <v>222</v>
      </c>
      <c r="D36" s="3" t="s">
        <v>303</v>
      </c>
      <c r="E36" s="3" t="s">
        <v>20</v>
      </c>
      <c r="F36" s="3" t="s">
        <v>51</v>
      </c>
      <c r="G36" s="3" t="str">
        <f aca="false">E36&amp;"-"&amp;F36</f>
        <v>Leh-November</v>
      </c>
      <c r="H36" s="3" t="n">
        <f aca="false">INDEX(Weather_Data!$K$2:$K$73,MATCH($G36,Weather_Data!$J$2:$J$73,0))</f>
        <v>-1</v>
      </c>
      <c r="I36" s="3" t="n">
        <f aca="false">INDEX(Weather_Data!$L$2:$L$73,MATCH($G36,Weather_Data!$J$2:$J$73,0))</f>
        <v>27</v>
      </c>
      <c r="J36" s="3" t="n">
        <f aca="false">INDEX(Weather_Data!$M$2:$M$73,MATCH($G36,Weather_Data!$J$2:$J$73,0))</f>
        <v>2</v>
      </c>
      <c r="K36" s="3" t="n">
        <f aca="false">INDEX(Weather_Data!$P$2:$P$73,MATCH($G36,Weather_Data!$J$2:$J$73,0))</f>
        <v>175</v>
      </c>
      <c r="L36" s="3" t="n">
        <f aca="false">INDEX(Weather_Data!$Q$2:$Q$73,MATCH($G36,Weather_Data!$J$2:$J$73,0))</f>
        <v>2</v>
      </c>
      <c r="M36" s="3" t="str">
        <f aca="false">INDEX(Shelter_Design!$I$2:$I$41,MATCH($B36,Shelter_Design!$A$2:$A$41,0))</f>
        <v>M15</v>
      </c>
      <c r="N36" s="3" t="n">
        <f aca="false">IFERROR(INDEX(Material_Properties!$D$2:$D$21,MATCH(M36,Material_Properties!$A$2:$A$21,0)),1)</f>
        <v>1</v>
      </c>
      <c r="O36" s="3" t="n">
        <f aca="false">INDEX(Shelter_Design!$M$2:$M$41,MATCH($B36,Shelter_Design!$A$2:$A$41,0))</f>
        <v>250</v>
      </c>
      <c r="P36" s="3" t="str">
        <f aca="false">INDEX(Shelter_Design!$L$2:$L$41,MATCH($B36,Shelter_Design!$A$2:$A$41,0))</f>
        <v>M09</v>
      </c>
      <c r="Q36" s="3" t="n">
        <f aca="false">IF(P36="None",0,IFERROR(INDEX(Material_Properties!$D$2:$D$21,MATCH(P36,Material_Properties!$A$2:$A$21,0)),0))</f>
        <v>0.04</v>
      </c>
      <c r="R36" s="3" t="n">
        <f aca="false">INDEX(Shelter_Design!$O$2:$O$41,MATCH($B36,Shelter_Design!$A$2:$A$41,0))</f>
        <v>150</v>
      </c>
      <c r="S36" s="3" t="n">
        <f aca="false">(O36/1000)/N36</f>
        <v>0.25</v>
      </c>
      <c r="T36" s="3" t="n">
        <f aca="false">IF(OR(P36="None",Q36=0),0,(R36/1000)/Q36)</f>
        <v>3.75</v>
      </c>
      <c r="U36" s="3" t="n">
        <v>0.17</v>
      </c>
      <c r="V36" s="3" t="n">
        <f aca="false">S36+T36+U36</f>
        <v>4.17</v>
      </c>
      <c r="W36" s="3" t="n">
        <f aca="false">1/V36</f>
        <v>0.239808153477218</v>
      </c>
      <c r="X36" s="3" t="n">
        <f aca="false">INDEX(Shelter_Design!$R$2:$R$41,MATCH($B36,Shelter_Design!$A$2:$A$41,0))</f>
        <v>27.6</v>
      </c>
      <c r="Y36" s="3" t="n">
        <f aca="false">INDEX(Shelter_Design!$P$2:$P$41,MATCH($B36,Shelter_Design!$A$2:$A$41,0))</f>
        <v>1.2</v>
      </c>
      <c r="Z36" s="3" t="n">
        <f aca="false">INDEX(Shelter_Design!$G$2:$G$41,MATCH($B36,Shelter_Design!$A$2:$A$41,0))</f>
        <v>21.6</v>
      </c>
      <c r="AA36" s="3" t="n">
        <f aca="false">INDEX(Shelter_Design!$S$2:$S$41,MATCH($B36,Shelter_Design!$A$2:$A$41,0))</f>
        <v>0.0416666666666667</v>
      </c>
      <c r="AB36" s="3" t="n">
        <f aca="false">INDEX(Shelter_Design!$Y$2:$Y$41,MATCH($B36,Shelter_Design!$A$2:$A$41,0))</f>
        <v>2</v>
      </c>
      <c r="AC36" s="3" t="str">
        <f aca="false">INDEX(Shelter_Design!$Z$2:$Z$41,MATCH($B36,Shelter_Design!$A$2:$A$41,0))</f>
        <v>Resting / sleeping</v>
      </c>
      <c r="AD36" s="3" t="n">
        <f aca="false">INDEX(Shelter_Design!$AA$2:$AA$41,MATCH($B36,Shelter_Design!$A$2:$A$41,0))</f>
        <v>1.75</v>
      </c>
      <c r="AE36" s="3" t="s">
        <v>304</v>
      </c>
    </row>
    <row r="37" customFormat="false" ht="15" hidden="false" customHeight="true" outlineLevel="0" collapsed="false">
      <c r="A37" s="3" t="s">
        <v>339</v>
      </c>
      <c r="B37" s="3" t="s">
        <v>235</v>
      </c>
      <c r="C37" s="3" t="s">
        <v>222</v>
      </c>
      <c r="D37" s="3" t="s">
        <v>303</v>
      </c>
      <c r="E37" s="3" t="s">
        <v>20</v>
      </c>
      <c r="F37" s="3" t="s">
        <v>22</v>
      </c>
      <c r="G37" s="3" t="str">
        <f aca="false">E37&amp;"-"&amp;F37</f>
        <v>Leh-January</v>
      </c>
      <c r="H37" s="3" t="n">
        <f aca="false">INDEX(Weather_Data!$K$2:$K$73,MATCH($G37,Weather_Data!$J$2:$J$73,0))</f>
        <v>-8</v>
      </c>
      <c r="I37" s="3" t="n">
        <f aca="false">INDEX(Weather_Data!$L$2:$L$73,MATCH($G37,Weather_Data!$J$2:$J$73,0))</f>
        <v>25</v>
      </c>
      <c r="J37" s="3" t="n">
        <f aca="false">INDEX(Weather_Data!$M$2:$M$73,MATCH($G37,Weather_Data!$J$2:$J$73,0))</f>
        <v>2</v>
      </c>
      <c r="K37" s="3" t="n">
        <f aca="false">INDEX(Weather_Data!$P$2:$P$73,MATCH($G37,Weather_Data!$J$2:$J$73,0))</f>
        <v>166.666666666667</v>
      </c>
      <c r="L37" s="3" t="n">
        <f aca="false">INDEX(Weather_Data!$Q$2:$Q$73,MATCH($G37,Weather_Data!$J$2:$J$73,0))</f>
        <v>5</v>
      </c>
      <c r="M37" s="3" t="str">
        <f aca="false">INDEX(Shelter_Design!$I$2:$I$41,MATCH($B37,Shelter_Design!$A$2:$A$41,0))</f>
        <v>M15</v>
      </c>
      <c r="N37" s="3" t="n">
        <f aca="false">IFERROR(INDEX(Material_Properties!$D$2:$D$21,MATCH(M37,Material_Properties!$A$2:$A$21,0)),1)</f>
        <v>1</v>
      </c>
      <c r="O37" s="3" t="n">
        <f aca="false">INDEX(Shelter_Design!$M$2:$M$41,MATCH($B37,Shelter_Design!$A$2:$A$41,0))</f>
        <v>250</v>
      </c>
      <c r="P37" s="3" t="str">
        <f aca="false">INDEX(Shelter_Design!$L$2:$L$41,MATCH($B37,Shelter_Design!$A$2:$A$41,0))</f>
        <v>M09</v>
      </c>
      <c r="Q37" s="3" t="n">
        <f aca="false">IF(P37="None",0,IFERROR(INDEX(Material_Properties!$D$2:$D$21,MATCH(P37,Material_Properties!$A$2:$A$21,0)),0))</f>
        <v>0.04</v>
      </c>
      <c r="R37" s="3" t="n">
        <f aca="false">INDEX(Shelter_Design!$O$2:$O$41,MATCH($B37,Shelter_Design!$A$2:$A$41,0))</f>
        <v>150</v>
      </c>
      <c r="S37" s="3" t="n">
        <f aca="false">(O37/1000)/N37</f>
        <v>0.25</v>
      </c>
      <c r="T37" s="3" t="n">
        <f aca="false">IF(OR(P37="None",Q37=0),0,(R37/1000)/Q37)</f>
        <v>3.75</v>
      </c>
      <c r="U37" s="3" t="n">
        <v>0.17</v>
      </c>
      <c r="V37" s="3" t="n">
        <f aca="false">S37+T37+U37</f>
        <v>4.17</v>
      </c>
      <c r="W37" s="3" t="n">
        <f aca="false">1/V37</f>
        <v>0.239808153477218</v>
      </c>
      <c r="X37" s="3" t="n">
        <f aca="false">INDEX(Shelter_Design!$R$2:$R$41,MATCH($B37,Shelter_Design!$A$2:$A$41,0))</f>
        <v>45</v>
      </c>
      <c r="Y37" s="3" t="n">
        <f aca="false">INDEX(Shelter_Design!$P$2:$P$41,MATCH($B37,Shelter_Design!$A$2:$A$41,0))</f>
        <v>1.8</v>
      </c>
      <c r="Z37" s="3" t="n">
        <f aca="false">INDEX(Shelter_Design!$G$2:$G$41,MATCH($B37,Shelter_Design!$A$2:$A$41,0))</f>
        <v>52</v>
      </c>
      <c r="AA37" s="3" t="n">
        <f aca="false">INDEX(Shelter_Design!$S$2:$S$41,MATCH($B37,Shelter_Design!$A$2:$A$41,0))</f>
        <v>0.0384615384615385</v>
      </c>
      <c r="AB37" s="3" t="n">
        <f aca="false">INDEX(Shelter_Design!$Y$2:$Y$41,MATCH($B37,Shelter_Design!$A$2:$A$41,0))</f>
        <v>5</v>
      </c>
      <c r="AC37" s="3" t="str">
        <f aca="false">INDEX(Shelter_Design!$Z$2:$Z$41,MATCH($B37,Shelter_Design!$A$2:$A$41,0))</f>
        <v>Resting / sleeping</v>
      </c>
      <c r="AD37" s="3" t="n">
        <f aca="false">INDEX(Shelter_Design!$AA$2:$AA$41,MATCH($B37,Shelter_Design!$A$2:$A$41,0))</f>
        <v>1.75</v>
      </c>
      <c r="AE37" s="3" t="s">
        <v>304</v>
      </c>
    </row>
    <row r="38" customFormat="false" ht="15" hidden="false" customHeight="true" outlineLevel="0" collapsed="false">
      <c r="A38" s="3" t="s">
        <v>340</v>
      </c>
      <c r="B38" s="3" t="s">
        <v>235</v>
      </c>
      <c r="C38" s="3" t="s">
        <v>222</v>
      </c>
      <c r="D38" s="3" t="s">
        <v>303</v>
      </c>
      <c r="E38" s="3" t="s">
        <v>20</v>
      </c>
      <c r="F38" s="3" t="s">
        <v>33</v>
      </c>
      <c r="G38" s="3" t="str">
        <f aca="false">E38&amp;"-"&amp;F38</f>
        <v>Leh-April</v>
      </c>
      <c r="H38" s="3" t="n">
        <f aca="false">INDEX(Weather_Data!$K$2:$K$73,MATCH($G38,Weather_Data!$J$2:$J$73,0))</f>
        <v>7</v>
      </c>
      <c r="I38" s="3" t="n">
        <f aca="false">INDEX(Weather_Data!$L$2:$L$73,MATCH($G38,Weather_Data!$J$2:$J$73,0))</f>
        <v>30</v>
      </c>
      <c r="J38" s="3" t="n">
        <f aca="false">INDEX(Weather_Data!$M$2:$M$73,MATCH($G38,Weather_Data!$J$2:$J$73,0))</f>
        <v>4</v>
      </c>
      <c r="K38" s="3" t="n">
        <f aca="false">INDEX(Weather_Data!$P$2:$P$73,MATCH($G38,Weather_Data!$J$2:$J$73,0))</f>
        <v>270.833333333333</v>
      </c>
      <c r="L38" s="3" t="n">
        <f aca="false">INDEX(Weather_Data!$Q$2:$Q$73,MATCH($G38,Weather_Data!$J$2:$J$73,0))</f>
        <v>10</v>
      </c>
      <c r="M38" s="3" t="str">
        <f aca="false">INDEX(Shelter_Design!$I$2:$I$41,MATCH($B38,Shelter_Design!$A$2:$A$41,0))</f>
        <v>M15</v>
      </c>
      <c r="N38" s="3" t="n">
        <f aca="false">IFERROR(INDEX(Material_Properties!$D$2:$D$21,MATCH(M38,Material_Properties!$A$2:$A$21,0)),1)</f>
        <v>1</v>
      </c>
      <c r="O38" s="3" t="n">
        <f aca="false">INDEX(Shelter_Design!$M$2:$M$41,MATCH($B38,Shelter_Design!$A$2:$A$41,0))</f>
        <v>250</v>
      </c>
      <c r="P38" s="3" t="str">
        <f aca="false">INDEX(Shelter_Design!$L$2:$L$41,MATCH($B38,Shelter_Design!$A$2:$A$41,0))</f>
        <v>M09</v>
      </c>
      <c r="Q38" s="3" t="n">
        <f aca="false">IF(P38="None",0,IFERROR(INDEX(Material_Properties!$D$2:$D$21,MATCH(P38,Material_Properties!$A$2:$A$21,0)),0))</f>
        <v>0.04</v>
      </c>
      <c r="R38" s="3" t="n">
        <f aca="false">INDEX(Shelter_Design!$O$2:$O$41,MATCH($B38,Shelter_Design!$A$2:$A$41,0))</f>
        <v>150</v>
      </c>
      <c r="S38" s="3" t="n">
        <f aca="false">(O38/1000)/N38</f>
        <v>0.25</v>
      </c>
      <c r="T38" s="3" t="n">
        <f aca="false">IF(OR(P38="None",Q38=0),0,(R38/1000)/Q38)</f>
        <v>3.75</v>
      </c>
      <c r="U38" s="3" t="n">
        <v>0.17</v>
      </c>
      <c r="V38" s="3" t="n">
        <f aca="false">S38+T38+U38</f>
        <v>4.17</v>
      </c>
      <c r="W38" s="3" t="n">
        <f aca="false">1/V38</f>
        <v>0.239808153477218</v>
      </c>
      <c r="X38" s="3" t="n">
        <f aca="false">INDEX(Shelter_Design!$R$2:$R$41,MATCH($B38,Shelter_Design!$A$2:$A$41,0))</f>
        <v>45</v>
      </c>
      <c r="Y38" s="3" t="n">
        <f aca="false">INDEX(Shelter_Design!$P$2:$P$41,MATCH($B38,Shelter_Design!$A$2:$A$41,0))</f>
        <v>1.8</v>
      </c>
      <c r="Z38" s="3" t="n">
        <f aca="false">INDEX(Shelter_Design!$G$2:$G$41,MATCH($B38,Shelter_Design!$A$2:$A$41,0))</f>
        <v>52</v>
      </c>
      <c r="AA38" s="3" t="n">
        <f aca="false">INDEX(Shelter_Design!$S$2:$S$41,MATCH($B38,Shelter_Design!$A$2:$A$41,0))</f>
        <v>0.0384615384615385</v>
      </c>
      <c r="AB38" s="3" t="n">
        <f aca="false">INDEX(Shelter_Design!$Y$2:$Y$41,MATCH($B38,Shelter_Design!$A$2:$A$41,0))</f>
        <v>5</v>
      </c>
      <c r="AC38" s="3" t="str">
        <f aca="false">INDEX(Shelter_Design!$Z$2:$Z$41,MATCH($B38,Shelter_Design!$A$2:$A$41,0))</f>
        <v>Resting / sleeping</v>
      </c>
      <c r="AD38" s="3" t="n">
        <f aca="false">INDEX(Shelter_Design!$AA$2:$AA$41,MATCH($B38,Shelter_Design!$A$2:$A$41,0))</f>
        <v>1.75</v>
      </c>
      <c r="AE38" s="3" t="s">
        <v>304</v>
      </c>
    </row>
    <row r="39" customFormat="false" ht="15" hidden="false" customHeight="true" outlineLevel="0" collapsed="false">
      <c r="A39" s="3" t="s">
        <v>341</v>
      </c>
      <c r="B39" s="3" t="s">
        <v>235</v>
      </c>
      <c r="C39" s="3" t="s">
        <v>222</v>
      </c>
      <c r="D39" s="3" t="s">
        <v>303</v>
      </c>
      <c r="E39" s="3" t="s">
        <v>20</v>
      </c>
      <c r="F39" s="3" t="s">
        <v>42</v>
      </c>
      <c r="G39" s="3" t="str">
        <f aca="false">E39&amp;"-"&amp;F39</f>
        <v>Leh-July</v>
      </c>
      <c r="H39" s="3" t="n">
        <f aca="false">INDEX(Weather_Data!$K$2:$K$73,MATCH($G39,Weather_Data!$J$2:$J$73,0))</f>
        <v>19</v>
      </c>
      <c r="I39" s="3" t="n">
        <f aca="false">INDEX(Weather_Data!$L$2:$L$73,MATCH($G39,Weather_Data!$J$2:$J$73,0))</f>
        <v>38</v>
      </c>
      <c r="J39" s="3" t="n">
        <f aca="false">INDEX(Weather_Data!$M$2:$M$73,MATCH($G39,Weather_Data!$J$2:$J$73,0))</f>
        <v>3</v>
      </c>
      <c r="K39" s="3" t="n">
        <f aca="false">INDEX(Weather_Data!$P$2:$P$73,MATCH($G39,Weather_Data!$J$2:$J$73,0))</f>
        <v>283.333333333333</v>
      </c>
      <c r="L39" s="3" t="n">
        <f aca="false">INDEX(Weather_Data!$Q$2:$Q$73,MATCH($G39,Weather_Data!$J$2:$J$73,0))</f>
        <v>15</v>
      </c>
      <c r="M39" s="3" t="str">
        <f aca="false">INDEX(Shelter_Design!$I$2:$I$41,MATCH($B39,Shelter_Design!$A$2:$A$41,0))</f>
        <v>M15</v>
      </c>
      <c r="N39" s="3" t="n">
        <f aca="false">IFERROR(INDEX(Material_Properties!$D$2:$D$21,MATCH(M39,Material_Properties!$A$2:$A$21,0)),1)</f>
        <v>1</v>
      </c>
      <c r="O39" s="3" t="n">
        <f aca="false">INDEX(Shelter_Design!$M$2:$M$41,MATCH($B39,Shelter_Design!$A$2:$A$41,0))</f>
        <v>250</v>
      </c>
      <c r="P39" s="3" t="str">
        <f aca="false">INDEX(Shelter_Design!$L$2:$L$41,MATCH($B39,Shelter_Design!$A$2:$A$41,0))</f>
        <v>M09</v>
      </c>
      <c r="Q39" s="3" t="n">
        <f aca="false">IF(P39="None",0,IFERROR(INDEX(Material_Properties!$D$2:$D$21,MATCH(P39,Material_Properties!$A$2:$A$21,0)),0))</f>
        <v>0.04</v>
      </c>
      <c r="R39" s="3" t="n">
        <f aca="false">INDEX(Shelter_Design!$O$2:$O$41,MATCH($B39,Shelter_Design!$A$2:$A$41,0))</f>
        <v>150</v>
      </c>
      <c r="S39" s="3" t="n">
        <f aca="false">(O39/1000)/N39</f>
        <v>0.25</v>
      </c>
      <c r="T39" s="3" t="n">
        <f aca="false">IF(OR(P39="None",Q39=0),0,(R39/1000)/Q39)</f>
        <v>3.75</v>
      </c>
      <c r="U39" s="3" t="n">
        <v>0.17</v>
      </c>
      <c r="V39" s="3" t="n">
        <f aca="false">S39+T39+U39</f>
        <v>4.17</v>
      </c>
      <c r="W39" s="3" t="n">
        <f aca="false">1/V39</f>
        <v>0.239808153477218</v>
      </c>
      <c r="X39" s="3" t="n">
        <f aca="false">INDEX(Shelter_Design!$R$2:$R$41,MATCH($B39,Shelter_Design!$A$2:$A$41,0))</f>
        <v>45</v>
      </c>
      <c r="Y39" s="3" t="n">
        <f aca="false">INDEX(Shelter_Design!$P$2:$P$41,MATCH($B39,Shelter_Design!$A$2:$A$41,0))</f>
        <v>1.8</v>
      </c>
      <c r="Z39" s="3" t="n">
        <f aca="false">INDEX(Shelter_Design!$G$2:$G$41,MATCH($B39,Shelter_Design!$A$2:$A$41,0))</f>
        <v>52</v>
      </c>
      <c r="AA39" s="3" t="n">
        <f aca="false">INDEX(Shelter_Design!$S$2:$S$41,MATCH($B39,Shelter_Design!$A$2:$A$41,0))</f>
        <v>0.0384615384615385</v>
      </c>
      <c r="AB39" s="3" t="n">
        <f aca="false">INDEX(Shelter_Design!$Y$2:$Y$41,MATCH($B39,Shelter_Design!$A$2:$A$41,0))</f>
        <v>5</v>
      </c>
      <c r="AC39" s="3" t="str">
        <f aca="false">INDEX(Shelter_Design!$Z$2:$Z$41,MATCH($B39,Shelter_Design!$A$2:$A$41,0))</f>
        <v>Resting / sleeping</v>
      </c>
      <c r="AD39" s="3" t="n">
        <f aca="false">INDEX(Shelter_Design!$AA$2:$AA$41,MATCH($B39,Shelter_Design!$A$2:$A$41,0))</f>
        <v>1.75</v>
      </c>
      <c r="AE39" s="3" t="s">
        <v>304</v>
      </c>
    </row>
    <row r="40" customFormat="false" ht="15" hidden="false" customHeight="true" outlineLevel="0" collapsed="false">
      <c r="A40" s="3" t="s">
        <v>342</v>
      </c>
      <c r="B40" s="3" t="s">
        <v>235</v>
      </c>
      <c r="C40" s="3" t="s">
        <v>222</v>
      </c>
      <c r="D40" s="3" t="s">
        <v>303</v>
      </c>
      <c r="E40" s="3" t="s">
        <v>20</v>
      </c>
      <c r="F40" s="3" t="s">
        <v>46</v>
      </c>
      <c r="G40" s="3" t="str">
        <f aca="false">E40&amp;"-"&amp;F40</f>
        <v>Leh-September</v>
      </c>
      <c r="H40" s="3" t="n">
        <f aca="false">INDEX(Weather_Data!$K$2:$K$73,MATCH($G40,Weather_Data!$J$2:$J$73,0))</f>
        <v>14</v>
      </c>
      <c r="I40" s="3" t="n">
        <f aca="false">INDEX(Weather_Data!$L$2:$L$73,MATCH($G40,Weather_Data!$J$2:$J$73,0))</f>
        <v>35</v>
      </c>
      <c r="J40" s="3" t="n">
        <f aca="false">INDEX(Weather_Data!$M$2:$M$73,MATCH($G40,Weather_Data!$J$2:$J$73,0))</f>
        <v>3</v>
      </c>
      <c r="K40" s="3" t="n">
        <f aca="false">INDEX(Weather_Data!$P$2:$P$73,MATCH($G40,Weather_Data!$J$2:$J$73,0))</f>
        <v>250</v>
      </c>
      <c r="L40" s="3" t="n">
        <f aca="false">INDEX(Weather_Data!$Q$2:$Q$73,MATCH($G40,Weather_Data!$J$2:$J$73,0))</f>
        <v>8</v>
      </c>
      <c r="M40" s="3" t="str">
        <f aca="false">INDEX(Shelter_Design!$I$2:$I$41,MATCH($B40,Shelter_Design!$A$2:$A$41,0))</f>
        <v>M15</v>
      </c>
      <c r="N40" s="3" t="n">
        <f aca="false">IFERROR(INDEX(Material_Properties!$D$2:$D$21,MATCH(M40,Material_Properties!$A$2:$A$21,0)),1)</f>
        <v>1</v>
      </c>
      <c r="O40" s="3" t="n">
        <f aca="false">INDEX(Shelter_Design!$M$2:$M$41,MATCH($B40,Shelter_Design!$A$2:$A$41,0))</f>
        <v>250</v>
      </c>
      <c r="P40" s="3" t="str">
        <f aca="false">INDEX(Shelter_Design!$L$2:$L$41,MATCH($B40,Shelter_Design!$A$2:$A$41,0))</f>
        <v>M09</v>
      </c>
      <c r="Q40" s="3" t="n">
        <f aca="false">IF(P40="None",0,IFERROR(INDEX(Material_Properties!$D$2:$D$21,MATCH(P40,Material_Properties!$A$2:$A$21,0)),0))</f>
        <v>0.04</v>
      </c>
      <c r="R40" s="3" t="n">
        <f aca="false">INDEX(Shelter_Design!$O$2:$O$41,MATCH($B40,Shelter_Design!$A$2:$A$41,0))</f>
        <v>150</v>
      </c>
      <c r="S40" s="3" t="n">
        <f aca="false">(O40/1000)/N40</f>
        <v>0.25</v>
      </c>
      <c r="T40" s="3" t="n">
        <f aca="false">IF(OR(P40="None",Q40=0),0,(R40/1000)/Q40)</f>
        <v>3.75</v>
      </c>
      <c r="U40" s="3" t="n">
        <v>0.17</v>
      </c>
      <c r="V40" s="3" t="n">
        <f aca="false">S40+T40+U40</f>
        <v>4.17</v>
      </c>
      <c r="W40" s="3" t="n">
        <f aca="false">1/V40</f>
        <v>0.239808153477218</v>
      </c>
      <c r="X40" s="3" t="n">
        <f aca="false">INDEX(Shelter_Design!$R$2:$R$41,MATCH($B40,Shelter_Design!$A$2:$A$41,0))</f>
        <v>45</v>
      </c>
      <c r="Y40" s="3" t="n">
        <f aca="false">INDEX(Shelter_Design!$P$2:$P$41,MATCH($B40,Shelter_Design!$A$2:$A$41,0))</f>
        <v>1.8</v>
      </c>
      <c r="Z40" s="3" t="n">
        <f aca="false">INDEX(Shelter_Design!$G$2:$G$41,MATCH($B40,Shelter_Design!$A$2:$A$41,0))</f>
        <v>52</v>
      </c>
      <c r="AA40" s="3" t="n">
        <f aca="false">INDEX(Shelter_Design!$S$2:$S$41,MATCH($B40,Shelter_Design!$A$2:$A$41,0))</f>
        <v>0.0384615384615385</v>
      </c>
      <c r="AB40" s="3" t="n">
        <f aca="false">INDEX(Shelter_Design!$Y$2:$Y$41,MATCH($B40,Shelter_Design!$A$2:$A$41,0))</f>
        <v>5</v>
      </c>
      <c r="AC40" s="3" t="str">
        <f aca="false">INDEX(Shelter_Design!$Z$2:$Z$41,MATCH($B40,Shelter_Design!$A$2:$A$41,0))</f>
        <v>Resting / sleeping</v>
      </c>
      <c r="AD40" s="3" t="n">
        <f aca="false">INDEX(Shelter_Design!$AA$2:$AA$41,MATCH($B40,Shelter_Design!$A$2:$A$41,0))</f>
        <v>1.75</v>
      </c>
      <c r="AE40" s="3" t="s">
        <v>304</v>
      </c>
    </row>
    <row r="41" customFormat="false" ht="15" hidden="false" customHeight="true" outlineLevel="0" collapsed="false">
      <c r="A41" s="3" t="s">
        <v>343</v>
      </c>
      <c r="B41" s="3" t="s">
        <v>235</v>
      </c>
      <c r="C41" s="3" t="s">
        <v>222</v>
      </c>
      <c r="D41" s="3" t="s">
        <v>303</v>
      </c>
      <c r="E41" s="3" t="s">
        <v>20</v>
      </c>
      <c r="F41" s="3" t="s">
        <v>51</v>
      </c>
      <c r="G41" s="3" t="str">
        <f aca="false">E41&amp;"-"&amp;F41</f>
        <v>Leh-November</v>
      </c>
      <c r="H41" s="3" t="n">
        <f aca="false">INDEX(Weather_Data!$K$2:$K$73,MATCH($G41,Weather_Data!$J$2:$J$73,0))</f>
        <v>-1</v>
      </c>
      <c r="I41" s="3" t="n">
        <f aca="false">INDEX(Weather_Data!$L$2:$L$73,MATCH($G41,Weather_Data!$J$2:$J$73,0))</f>
        <v>27</v>
      </c>
      <c r="J41" s="3" t="n">
        <f aca="false">INDEX(Weather_Data!$M$2:$M$73,MATCH($G41,Weather_Data!$J$2:$J$73,0))</f>
        <v>2</v>
      </c>
      <c r="K41" s="3" t="n">
        <f aca="false">INDEX(Weather_Data!$P$2:$P$73,MATCH($G41,Weather_Data!$J$2:$J$73,0))</f>
        <v>175</v>
      </c>
      <c r="L41" s="3" t="n">
        <f aca="false">INDEX(Weather_Data!$Q$2:$Q$73,MATCH($G41,Weather_Data!$J$2:$J$73,0))</f>
        <v>2</v>
      </c>
      <c r="M41" s="3" t="str">
        <f aca="false">INDEX(Shelter_Design!$I$2:$I$41,MATCH($B41,Shelter_Design!$A$2:$A$41,0))</f>
        <v>M15</v>
      </c>
      <c r="N41" s="3" t="n">
        <f aca="false">IFERROR(INDEX(Material_Properties!$D$2:$D$21,MATCH(M41,Material_Properties!$A$2:$A$21,0)),1)</f>
        <v>1</v>
      </c>
      <c r="O41" s="3" t="n">
        <f aca="false">INDEX(Shelter_Design!$M$2:$M$41,MATCH($B41,Shelter_Design!$A$2:$A$41,0))</f>
        <v>250</v>
      </c>
      <c r="P41" s="3" t="str">
        <f aca="false">INDEX(Shelter_Design!$L$2:$L$41,MATCH($B41,Shelter_Design!$A$2:$A$41,0))</f>
        <v>M09</v>
      </c>
      <c r="Q41" s="3" t="n">
        <f aca="false">IF(P41="None",0,IFERROR(INDEX(Material_Properties!$D$2:$D$21,MATCH(P41,Material_Properties!$A$2:$A$21,0)),0))</f>
        <v>0.04</v>
      </c>
      <c r="R41" s="3" t="n">
        <f aca="false">INDEX(Shelter_Design!$O$2:$O$41,MATCH($B41,Shelter_Design!$A$2:$A$41,0))</f>
        <v>150</v>
      </c>
      <c r="S41" s="3" t="n">
        <f aca="false">(O41/1000)/N41</f>
        <v>0.25</v>
      </c>
      <c r="T41" s="3" t="n">
        <f aca="false">IF(OR(P41="None",Q41=0),0,(R41/1000)/Q41)</f>
        <v>3.75</v>
      </c>
      <c r="U41" s="3" t="n">
        <v>0.17</v>
      </c>
      <c r="V41" s="3" t="n">
        <f aca="false">S41+T41+U41</f>
        <v>4.17</v>
      </c>
      <c r="W41" s="3" t="n">
        <f aca="false">1/V41</f>
        <v>0.239808153477218</v>
      </c>
      <c r="X41" s="3" t="n">
        <f aca="false">INDEX(Shelter_Design!$R$2:$R$41,MATCH($B41,Shelter_Design!$A$2:$A$41,0))</f>
        <v>45</v>
      </c>
      <c r="Y41" s="3" t="n">
        <f aca="false">INDEX(Shelter_Design!$P$2:$P$41,MATCH($B41,Shelter_Design!$A$2:$A$41,0))</f>
        <v>1.8</v>
      </c>
      <c r="Z41" s="3" t="n">
        <f aca="false">INDEX(Shelter_Design!$G$2:$G$41,MATCH($B41,Shelter_Design!$A$2:$A$41,0))</f>
        <v>52</v>
      </c>
      <c r="AA41" s="3" t="n">
        <f aca="false">INDEX(Shelter_Design!$S$2:$S$41,MATCH($B41,Shelter_Design!$A$2:$A$41,0))</f>
        <v>0.0384615384615385</v>
      </c>
      <c r="AB41" s="3" t="n">
        <f aca="false">INDEX(Shelter_Design!$Y$2:$Y$41,MATCH($B41,Shelter_Design!$A$2:$A$41,0))</f>
        <v>5</v>
      </c>
      <c r="AC41" s="3" t="str">
        <f aca="false">INDEX(Shelter_Design!$Z$2:$Z$41,MATCH($B41,Shelter_Design!$A$2:$A$41,0))</f>
        <v>Resting / sleeping</v>
      </c>
      <c r="AD41" s="3" t="n">
        <f aca="false">INDEX(Shelter_Design!$AA$2:$AA$41,MATCH($B41,Shelter_Design!$A$2:$A$41,0))</f>
        <v>1.75</v>
      </c>
      <c r="AE41" s="3" t="s">
        <v>304</v>
      </c>
    </row>
    <row r="42" customFormat="false" ht="15" hidden="false" customHeight="true" outlineLevel="0" collapsed="false">
      <c r="A42" s="3" t="s">
        <v>344</v>
      </c>
      <c r="B42" s="3" t="s">
        <v>236</v>
      </c>
      <c r="C42" s="3" t="s">
        <v>237</v>
      </c>
      <c r="D42" s="3" t="s">
        <v>303</v>
      </c>
      <c r="E42" s="3" t="s">
        <v>60</v>
      </c>
      <c r="F42" s="3" t="s">
        <v>22</v>
      </c>
      <c r="G42" s="3" t="str">
        <f aca="false">E42&amp;"-"&amp;F42</f>
        <v>Jaisalmer-January</v>
      </c>
      <c r="H42" s="3" t="n">
        <f aca="false">INDEX(Weather_Data!$K$2:$K$73,MATCH($G42,Weather_Data!$J$2:$J$73,0))</f>
        <v>15</v>
      </c>
      <c r="I42" s="3" t="n">
        <f aca="false">INDEX(Weather_Data!$L$2:$L$73,MATCH($G42,Weather_Data!$J$2:$J$73,0))</f>
        <v>35</v>
      </c>
      <c r="J42" s="3" t="n">
        <f aca="false">INDEX(Weather_Data!$M$2:$M$73,MATCH($G42,Weather_Data!$J$2:$J$73,0))</f>
        <v>2</v>
      </c>
      <c r="K42" s="3" t="n">
        <f aca="false">INDEX(Weather_Data!$P$2:$P$73,MATCH($G42,Weather_Data!$J$2:$J$73,0))</f>
        <v>187.5</v>
      </c>
      <c r="L42" s="3" t="n">
        <f aca="false">INDEX(Weather_Data!$Q$2:$Q$73,MATCH($G42,Weather_Data!$J$2:$J$73,0))</f>
        <v>3</v>
      </c>
      <c r="M42" s="3" t="str">
        <f aca="false">INDEX(Shelter_Design!$I$2:$I$41,MATCH($B42,Shelter_Design!$A$2:$A$41,0))</f>
        <v>M02</v>
      </c>
      <c r="N42" s="3" t="n">
        <f aca="false">IFERROR(INDEX(Material_Properties!$D$2:$D$21,MATCH(M42,Material_Properties!$A$2:$A$21,0)),1)</f>
        <v>0.7</v>
      </c>
      <c r="O42" s="3" t="n">
        <f aca="false">INDEX(Shelter_Design!$M$2:$M$41,MATCH($B42,Shelter_Design!$A$2:$A$41,0))</f>
        <v>230</v>
      </c>
      <c r="P42" s="3" t="str">
        <f aca="false">INDEX(Shelter_Design!$L$2:$L$41,MATCH($B42,Shelter_Design!$A$2:$A$41,0))</f>
        <v>None</v>
      </c>
      <c r="Q42" s="3" t="n">
        <f aca="false">IF(P42="None",0,IFERROR(INDEX(Material_Properties!$D$2:$D$21,MATCH(P42,Material_Properties!$A$2:$A$21,0)),0))</f>
        <v>0</v>
      </c>
      <c r="R42" s="3" t="n">
        <f aca="false">INDEX(Shelter_Design!$O$2:$O$41,MATCH($B42,Shelter_Design!$A$2:$A$41,0))</f>
        <v>0</v>
      </c>
      <c r="S42" s="3" t="n">
        <f aca="false">(O42/1000)/N42</f>
        <v>0.328571428571429</v>
      </c>
      <c r="T42" s="3" t="n">
        <f aca="false">IF(OR(P42="None",Q42=0),0,(R42/1000)/Q42)</f>
        <v>0</v>
      </c>
      <c r="U42" s="3" t="n">
        <v>0.17</v>
      </c>
      <c r="V42" s="3" t="n">
        <f aca="false">S42+T42+U42</f>
        <v>0.498571428571429</v>
      </c>
      <c r="W42" s="3" t="n">
        <f aca="false">1/V42</f>
        <v>2.00573065902579</v>
      </c>
      <c r="X42" s="3" t="n">
        <f aca="false">INDEX(Shelter_Design!$R$2:$R$41,MATCH($B42,Shelter_Design!$A$2:$A$41,0))</f>
        <v>32.8</v>
      </c>
      <c r="Y42" s="3" t="n">
        <f aca="false">INDEX(Shelter_Design!$P$2:$P$41,MATCH($B42,Shelter_Design!$A$2:$A$41,0))</f>
        <v>1</v>
      </c>
      <c r="Z42" s="3" t="n">
        <f aca="false">INDEX(Shelter_Design!$G$2:$G$41,MATCH($B42,Shelter_Design!$A$2:$A$41,0))</f>
        <v>27.3</v>
      </c>
      <c r="AA42" s="3" t="n">
        <f aca="false">INDEX(Shelter_Design!$S$2:$S$41,MATCH($B42,Shelter_Design!$A$2:$A$41,0))</f>
        <v>0.029585798816568</v>
      </c>
      <c r="AB42" s="3" t="n">
        <f aca="false">INDEX(Shelter_Design!$Y$2:$Y$41,MATCH($B42,Shelter_Design!$A$2:$A$41,0))</f>
        <v>2</v>
      </c>
      <c r="AC42" s="3" t="str">
        <f aca="false">INDEX(Shelter_Design!$Z$2:$Z$41,MATCH($B42,Shelter_Design!$A$2:$A$41,0))</f>
        <v>Light</v>
      </c>
      <c r="AD42" s="3" t="n">
        <f aca="false">INDEX(Shelter_Design!$AA$2:$AA$41,MATCH($B42,Shelter_Design!$A$2:$A$41,0))</f>
        <v>0.5</v>
      </c>
      <c r="AE42" s="3" t="s">
        <v>304</v>
      </c>
    </row>
    <row r="43" customFormat="false" ht="15" hidden="false" customHeight="true" outlineLevel="0" collapsed="false">
      <c r="A43" s="3" t="s">
        <v>345</v>
      </c>
      <c r="B43" s="3" t="s">
        <v>236</v>
      </c>
      <c r="C43" s="3" t="s">
        <v>237</v>
      </c>
      <c r="D43" s="3" t="s">
        <v>303</v>
      </c>
      <c r="E43" s="3" t="s">
        <v>60</v>
      </c>
      <c r="F43" s="3" t="s">
        <v>33</v>
      </c>
      <c r="G43" s="3" t="str">
        <f aca="false">E43&amp;"-"&amp;F43</f>
        <v>Jaisalmer-April</v>
      </c>
      <c r="H43" s="3" t="n">
        <f aca="false">INDEX(Weather_Data!$K$2:$K$73,MATCH($G43,Weather_Data!$J$2:$J$73,0))</f>
        <v>32</v>
      </c>
      <c r="I43" s="3" t="n">
        <f aca="false">INDEX(Weather_Data!$L$2:$L$73,MATCH($G43,Weather_Data!$J$2:$J$73,0))</f>
        <v>20</v>
      </c>
      <c r="J43" s="3" t="n">
        <f aca="false">INDEX(Weather_Data!$M$2:$M$73,MATCH($G43,Weather_Data!$J$2:$J$73,0))</f>
        <v>4.5</v>
      </c>
      <c r="K43" s="3" t="n">
        <f aca="false">INDEX(Weather_Data!$P$2:$P$73,MATCH($G43,Weather_Data!$J$2:$J$73,0))</f>
        <v>283.333333333333</v>
      </c>
      <c r="L43" s="3" t="n">
        <f aca="false">INDEX(Weather_Data!$Q$2:$Q$73,MATCH($G43,Weather_Data!$J$2:$J$73,0))</f>
        <v>2</v>
      </c>
      <c r="M43" s="3" t="str">
        <f aca="false">INDEX(Shelter_Design!$I$2:$I$41,MATCH($B43,Shelter_Design!$A$2:$A$41,0))</f>
        <v>M02</v>
      </c>
      <c r="N43" s="3" t="n">
        <f aca="false">IFERROR(INDEX(Material_Properties!$D$2:$D$21,MATCH(M43,Material_Properties!$A$2:$A$21,0)),1)</f>
        <v>0.7</v>
      </c>
      <c r="O43" s="3" t="n">
        <f aca="false">INDEX(Shelter_Design!$M$2:$M$41,MATCH($B43,Shelter_Design!$A$2:$A$41,0))</f>
        <v>230</v>
      </c>
      <c r="P43" s="3" t="str">
        <f aca="false">INDEX(Shelter_Design!$L$2:$L$41,MATCH($B43,Shelter_Design!$A$2:$A$41,0))</f>
        <v>None</v>
      </c>
      <c r="Q43" s="3" t="n">
        <f aca="false">IF(P43="None",0,IFERROR(INDEX(Material_Properties!$D$2:$D$21,MATCH(P43,Material_Properties!$A$2:$A$21,0)),0))</f>
        <v>0</v>
      </c>
      <c r="R43" s="3" t="n">
        <f aca="false">INDEX(Shelter_Design!$O$2:$O$41,MATCH($B43,Shelter_Design!$A$2:$A$41,0))</f>
        <v>0</v>
      </c>
      <c r="S43" s="3" t="n">
        <f aca="false">(O43/1000)/N43</f>
        <v>0.328571428571429</v>
      </c>
      <c r="T43" s="3" t="n">
        <f aca="false">IF(OR(P43="None",Q43=0),0,(R43/1000)/Q43)</f>
        <v>0</v>
      </c>
      <c r="U43" s="3" t="n">
        <v>0.17</v>
      </c>
      <c r="V43" s="3" t="n">
        <f aca="false">S43+T43+U43</f>
        <v>0.498571428571429</v>
      </c>
      <c r="W43" s="3" t="n">
        <f aca="false">1/V43</f>
        <v>2.00573065902579</v>
      </c>
      <c r="X43" s="3" t="n">
        <f aca="false">INDEX(Shelter_Design!$R$2:$R$41,MATCH($B43,Shelter_Design!$A$2:$A$41,0))</f>
        <v>32.8</v>
      </c>
      <c r="Y43" s="3" t="n">
        <f aca="false">INDEX(Shelter_Design!$P$2:$P$41,MATCH($B43,Shelter_Design!$A$2:$A$41,0))</f>
        <v>1</v>
      </c>
      <c r="Z43" s="3" t="n">
        <f aca="false">INDEX(Shelter_Design!$G$2:$G$41,MATCH($B43,Shelter_Design!$A$2:$A$41,0))</f>
        <v>27.3</v>
      </c>
      <c r="AA43" s="3" t="n">
        <f aca="false">INDEX(Shelter_Design!$S$2:$S$41,MATCH($B43,Shelter_Design!$A$2:$A$41,0))</f>
        <v>0.029585798816568</v>
      </c>
      <c r="AB43" s="3" t="n">
        <f aca="false">INDEX(Shelter_Design!$Y$2:$Y$41,MATCH($B43,Shelter_Design!$A$2:$A$41,0))</f>
        <v>2</v>
      </c>
      <c r="AC43" s="3" t="str">
        <f aca="false">INDEX(Shelter_Design!$Z$2:$Z$41,MATCH($B43,Shelter_Design!$A$2:$A$41,0))</f>
        <v>Light</v>
      </c>
      <c r="AD43" s="3" t="n">
        <f aca="false">INDEX(Shelter_Design!$AA$2:$AA$41,MATCH($B43,Shelter_Design!$A$2:$A$41,0))</f>
        <v>0.5</v>
      </c>
      <c r="AE43" s="3" t="s">
        <v>304</v>
      </c>
    </row>
    <row r="44" customFormat="false" ht="15" hidden="false" customHeight="true" outlineLevel="0" collapsed="false">
      <c r="A44" s="3" t="s">
        <v>346</v>
      </c>
      <c r="B44" s="3" t="s">
        <v>236</v>
      </c>
      <c r="C44" s="3" t="s">
        <v>237</v>
      </c>
      <c r="D44" s="3" t="s">
        <v>303</v>
      </c>
      <c r="E44" s="3" t="s">
        <v>60</v>
      </c>
      <c r="F44" s="3" t="s">
        <v>42</v>
      </c>
      <c r="G44" s="3" t="str">
        <f aca="false">E44&amp;"-"&amp;F44</f>
        <v>Jaisalmer-July</v>
      </c>
      <c r="H44" s="3" t="n">
        <f aca="false">INDEX(Weather_Data!$K$2:$K$73,MATCH($G44,Weather_Data!$J$2:$J$73,0))</f>
        <v>34</v>
      </c>
      <c r="I44" s="3" t="n">
        <f aca="false">INDEX(Weather_Data!$L$2:$L$73,MATCH($G44,Weather_Data!$J$2:$J$73,0))</f>
        <v>50</v>
      </c>
      <c r="J44" s="3" t="n">
        <f aca="false">INDEX(Weather_Data!$M$2:$M$73,MATCH($G44,Weather_Data!$J$2:$J$73,0))</f>
        <v>3.5</v>
      </c>
      <c r="K44" s="3" t="n">
        <f aca="false">INDEX(Weather_Data!$P$2:$P$73,MATCH($G44,Weather_Data!$J$2:$J$73,0))</f>
        <v>229.166666666667</v>
      </c>
      <c r="L44" s="3" t="n">
        <f aca="false">INDEX(Weather_Data!$Q$2:$Q$73,MATCH($G44,Weather_Data!$J$2:$J$73,0))</f>
        <v>60</v>
      </c>
      <c r="M44" s="3" t="str">
        <f aca="false">INDEX(Shelter_Design!$I$2:$I$41,MATCH($B44,Shelter_Design!$A$2:$A$41,0))</f>
        <v>M02</v>
      </c>
      <c r="N44" s="3" t="n">
        <f aca="false">IFERROR(INDEX(Material_Properties!$D$2:$D$21,MATCH(M44,Material_Properties!$A$2:$A$21,0)),1)</f>
        <v>0.7</v>
      </c>
      <c r="O44" s="3" t="n">
        <f aca="false">INDEX(Shelter_Design!$M$2:$M$41,MATCH($B44,Shelter_Design!$A$2:$A$41,0))</f>
        <v>230</v>
      </c>
      <c r="P44" s="3" t="str">
        <f aca="false">INDEX(Shelter_Design!$L$2:$L$41,MATCH($B44,Shelter_Design!$A$2:$A$41,0))</f>
        <v>None</v>
      </c>
      <c r="Q44" s="3" t="n">
        <f aca="false">IF(P44="None",0,IFERROR(INDEX(Material_Properties!$D$2:$D$21,MATCH(P44,Material_Properties!$A$2:$A$21,0)),0))</f>
        <v>0</v>
      </c>
      <c r="R44" s="3" t="n">
        <f aca="false">INDEX(Shelter_Design!$O$2:$O$41,MATCH($B44,Shelter_Design!$A$2:$A$41,0))</f>
        <v>0</v>
      </c>
      <c r="S44" s="3" t="n">
        <f aca="false">(O44/1000)/N44</f>
        <v>0.328571428571429</v>
      </c>
      <c r="T44" s="3" t="n">
        <f aca="false">IF(OR(P44="None",Q44=0),0,(R44/1000)/Q44)</f>
        <v>0</v>
      </c>
      <c r="U44" s="3" t="n">
        <v>0.17</v>
      </c>
      <c r="V44" s="3" t="n">
        <f aca="false">S44+T44+U44</f>
        <v>0.498571428571429</v>
      </c>
      <c r="W44" s="3" t="n">
        <f aca="false">1/V44</f>
        <v>2.00573065902579</v>
      </c>
      <c r="X44" s="3" t="n">
        <f aca="false">INDEX(Shelter_Design!$R$2:$R$41,MATCH($B44,Shelter_Design!$A$2:$A$41,0))</f>
        <v>32.8</v>
      </c>
      <c r="Y44" s="3" t="n">
        <f aca="false">INDEX(Shelter_Design!$P$2:$P$41,MATCH($B44,Shelter_Design!$A$2:$A$41,0))</f>
        <v>1</v>
      </c>
      <c r="Z44" s="3" t="n">
        <f aca="false">INDEX(Shelter_Design!$G$2:$G$41,MATCH($B44,Shelter_Design!$A$2:$A$41,0))</f>
        <v>27.3</v>
      </c>
      <c r="AA44" s="3" t="n">
        <f aca="false">INDEX(Shelter_Design!$S$2:$S$41,MATCH($B44,Shelter_Design!$A$2:$A$41,0))</f>
        <v>0.029585798816568</v>
      </c>
      <c r="AB44" s="3" t="n">
        <f aca="false">INDEX(Shelter_Design!$Y$2:$Y$41,MATCH($B44,Shelter_Design!$A$2:$A$41,0))</f>
        <v>2</v>
      </c>
      <c r="AC44" s="3" t="str">
        <f aca="false">INDEX(Shelter_Design!$Z$2:$Z$41,MATCH($B44,Shelter_Design!$A$2:$A$41,0))</f>
        <v>Light</v>
      </c>
      <c r="AD44" s="3" t="n">
        <f aca="false">INDEX(Shelter_Design!$AA$2:$AA$41,MATCH($B44,Shelter_Design!$A$2:$A$41,0))</f>
        <v>0.5</v>
      </c>
      <c r="AE44" s="3" t="s">
        <v>304</v>
      </c>
    </row>
    <row r="45" customFormat="false" ht="15" hidden="false" customHeight="true" outlineLevel="0" collapsed="false">
      <c r="A45" s="3" t="s">
        <v>347</v>
      </c>
      <c r="B45" s="3" t="s">
        <v>236</v>
      </c>
      <c r="C45" s="3" t="s">
        <v>237</v>
      </c>
      <c r="D45" s="3" t="s">
        <v>303</v>
      </c>
      <c r="E45" s="3" t="s">
        <v>60</v>
      </c>
      <c r="F45" s="3" t="s">
        <v>46</v>
      </c>
      <c r="G45" s="3" t="str">
        <f aca="false">E45&amp;"-"&amp;F45</f>
        <v>Jaisalmer-September</v>
      </c>
      <c r="H45" s="3" t="n">
        <f aca="false">INDEX(Weather_Data!$K$2:$K$73,MATCH($G45,Weather_Data!$J$2:$J$73,0))</f>
        <v>32</v>
      </c>
      <c r="I45" s="3" t="n">
        <f aca="false">INDEX(Weather_Data!$L$2:$L$73,MATCH($G45,Weather_Data!$J$2:$J$73,0))</f>
        <v>45</v>
      </c>
      <c r="J45" s="3" t="n">
        <f aca="false">INDEX(Weather_Data!$M$2:$M$73,MATCH($G45,Weather_Data!$J$2:$J$73,0))</f>
        <v>2.5</v>
      </c>
      <c r="K45" s="3" t="n">
        <f aca="false">INDEX(Weather_Data!$P$2:$P$73,MATCH($G45,Weather_Data!$J$2:$J$73,0))</f>
        <v>241.666666666667</v>
      </c>
      <c r="L45" s="3" t="n">
        <f aca="false">INDEX(Weather_Data!$Q$2:$Q$73,MATCH($G45,Weather_Data!$J$2:$J$73,0))</f>
        <v>25</v>
      </c>
      <c r="M45" s="3" t="str">
        <f aca="false">INDEX(Shelter_Design!$I$2:$I$41,MATCH($B45,Shelter_Design!$A$2:$A$41,0))</f>
        <v>M02</v>
      </c>
      <c r="N45" s="3" t="n">
        <f aca="false">IFERROR(INDEX(Material_Properties!$D$2:$D$21,MATCH(M45,Material_Properties!$A$2:$A$21,0)),1)</f>
        <v>0.7</v>
      </c>
      <c r="O45" s="3" t="n">
        <f aca="false">INDEX(Shelter_Design!$M$2:$M$41,MATCH($B45,Shelter_Design!$A$2:$A$41,0))</f>
        <v>230</v>
      </c>
      <c r="P45" s="3" t="str">
        <f aca="false">INDEX(Shelter_Design!$L$2:$L$41,MATCH($B45,Shelter_Design!$A$2:$A$41,0))</f>
        <v>None</v>
      </c>
      <c r="Q45" s="3" t="n">
        <f aca="false">IF(P45="None",0,IFERROR(INDEX(Material_Properties!$D$2:$D$21,MATCH(P45,Material_Properties!$A$2:$A$21,0)),0))</f>
        <v>0</v>
      </c>
      <c r="R45" s="3" t="n">
        <f aca="false">INDEX(Shelter_Design!$O$2:$O$41,MATCH($B45,Shelter_Design!$A$2:$A$41,0))</f>
        <v>0</v>
      </c>
      <c r="S45" s="3" t="n">
        <f aca="false">(O45/1000)/N45</f>
        <v>0.328571428571429</v>
      </c>
      <c r="T45" s="3" t="n">
        <f aca="false">IF(OR(P45="None",Q45=0),0,(R45/1000)/Q45)</f>
        <v>0</v>
      </c>
      <c r="U45" s="3" t="n">
        <v>0.17</v>
      </c>
      <c r="V45" s="3" t="n">
        <f aca="false">S45+T45+U45</f>
        <v>0.498571428571429</v>
      </c>
      <c r="W45" s="3" t="n">
        <f aca="false">1/V45</f>
        <v>2.00573065902579</v>
      </c>
      <c r="X45" s="3" t="n">
        <f aca="false">INDEX(Shelter_Design!$R$2:$R$41,MATCH($B45,Shelter_Design!$A$2:$A$41,0))</f>
        <v>32.8</v>
      </c>
      <c r="Y45" s="3" t="n">
        <f aca="false">INDEX(Shelter_Design!$P$2:$P$41,MATCH($B45,Shelter_Design!$A$2:$A$41,0))</f>
        <v>1</v>
      </c>
      <c r="Z45" s="3" t="n">
        <f aca="false">INDEX(Shelter_Design!$G$2:$G$41,MATCH($B45,Shelter_Design!$A$2:$A$41,0))</f>
        <v>27.3</v>
      </c>
      <c r="AA45" s="3" t="n">
        <f aca="false">INDEX(Shelter_Design!$S$2:$S$41,MATCH($B45,Shelter_Design!$A$2:$A$41,0))</f>
        <v>0.029585798816568</v>
      </c>
      <c r="AB45" s="3" t="n">
        <f aca="false">INDEX(Shelter_Design!$Y$2:$Y$41,MATCH($B45,Shelter_Design!$A$2:$A$41,0))</f>
        <v>2</v>
      </c>
      <c r="AC45" s="3" t="str">
        <f aca="false">INDEX(Shelter_Design!$Z$2:$Z$41,MATCH($B45,Shelter_Design!$A$2:$A$41,0))</f>
        <v>Light</v>
      </c>
      <c r="AD45" s="3" t="n">
        <f aca="false">INDEX(Shelter_Design!$AA$2:$AA$41,MATCH($B45,Shelter_Design!$A$2:$A$41,0))</f>
        <v>0.5</v>
      </c>
      <c r="AE45" s="3" t="s">
        <v>304</v>
      </c>
    </row>
    <row r="46" customFormat="false" ht="15" hidden="false" customHeight="true" outlineLevel="0" collapsed="false">
      <c r="A46" s="3" t="s">
        <v>348</v>
      </c>
      <c r="B46" s="3" t="s">
        <v>236</v>
      </c>
      <c r="C46" s="3" t="s">
        <v>237</v>
      </c>
      <c r="D46" s="3" t="s">
        <v>303</v>
      </c>
      <c r="E46" s="3" t="s">
        <v>60</v>
      </c>
      <c r="F46" s="3" t="s">
        <v>51</v>
      </c>
      <c r="G46" s="3" t="str">
        <f aca="false">E46&amp;"-"&amp;F46</f>
        <v>Jaisalmer-November</v>
      </c>
      <c r="H46" s="3" t="n">
        <f aca="false">INDEX(Weather_Data!$K$2:$K$73,MATCH($G46,Weather_Data!$J$2:$J$73,0))</f>
        <v>21</v>
      </c>
      <c r="I46" s="3" t="n">
        <f aca="false">INDEX(Weather_Data!$L$2:$L$73,MATCH($G46,Weather_Data!$J$2:$J$73,0))</f>
        <v>30</v>
      </c>
      <c r="J46" s="3" t="n">
        <f aca="false">INDEX(Weather_Data!$M$2:$M$73,MATCH($G46,Weather_Data!$J$2:$J$73,0))</f>
        <v>2</v>
      </c>
      <c r="K46" s="3" t="n">
        <f aca="false">INDEX(Weather_Data!$P$2:$P$73,MATCH($G46,Weather_Data!$J$2:$J$73,0))</f>
        <v>200</v>
      </c>
      <c r="L46" s="3" t="n">
        <f aca="false">INDEX(Weather_Data!$Q$2:$Q$73,MATCH($G46,Weather_Data!$J$2:$J$73,0))</f>
        <v>2</v>
      </c>
      <c r="M46" s="3" t="str">
        <f aca="false">INDEX(Shelter_Design!$I$2:$I$41,MATCH($B46,Shelter_Design!$A$2:$A$41,0))</f>
        <v>M02</v>
      </c>
      <c r="N46" s="3" t="n">
        <f aca="false">IFERROR(INDEX(Material_Properties!$D$2:$D$21,MATCH(M46,Material_Properties!$A$2:$A$21,0)),1)</f>
        <v>0.7</v>
      </c>
      <c r="O46" s="3" t="n">
        <f aca="false">INDEX(Shelter_Design!$M$2:$M$41,MATCH($B46,Shelter_Design!$A$2:$A$41,0))</f>
        <v>230</v>
      </c>
      <c r="P46" s="3" t="str">
        <f aca="false">INDEX(Shelter_Design!$L$2:$L$41,MATCH($B46,Shelter_Design!$A$2:$A$41,0))</f>
        <v>None</v>
      </c>
      <c r="Q46" s="3" t="n">
        <f aca="false">IF(P46="None",0,IFERROR(INDEX(Material_Properties!$D$2:$D$21,MATCH(P46,Material_Properties!$A$2:$A$21,0)),0))</f>
        <v>0</v>
      </c>
      <c r="R46" s="3" t="n">
        <f aca="false">INDEX(Shelter_Design!$O$2:$O$41,MATCH($B46,Shelter_Design!$A$2:$A$41,0))</f>
        <v>0</v>
      </c>
      <c r="S46" s="3" t="n">
        <f aca="false">(O46/1000)/N46</f>
        <v>0.328571428571429</v>
      </c>
      <c r="T46" s="3" t="n">
        <f aca="false">IF(OR(P46="None",Q46=0),0,(R46/1000)/Q46)</f>
        <v>0</v>
      </c>
      <c r="U46" s="3" t="n">
        <v>0.17</v>
      </c>
      <c r="V46" s="3" t="n">
        <f aca="false">S46+T46+U46</f>
        <v>0.498571428571429</v>
      </c>
      <c r="W46" s="3" t="n">
        <f aca="false">1/V46</f>
        <v>2.00573065902579</v>
      </c>
      <c r="X46" s="3" t="n">
        <f aca="false">INDEX(Shelter_Design!$R$2:$R$41,MATCH($B46,Shelter_Design!$A$2:$A$41,0))</f>
        <v>32.8</v>
      </c>
      <c r="Y46" s="3" t="n">
        <f aca="false">INDEX(Shelter_Design!$P$2:$P$41,MATCH($B46,Shelter_Design!$A$2:$A$41,0))</f>
        <v>1</v>
      </c>
      <c r="Z46" s="3" t="n">
        <f aca="false">INDEX(Shelter_Design!$G$2:$G$41,MATCH($B46,Shelter_Design!$A$2:$A$41,0))</f>
        <v>27.3</v>
      </c>
      <c r="AA46" s="3" t="n">
        <f aca="false">INDEX(Shelter_Design!$S$2:$S$41,MATCH($B46,Shelter_Design!$A$2:$A$41,0))</f>
        <v>0.029585798816568</v>
      </c>
      <c r="AB46" s="3" t="n">
        <f aca="false">INDEX(Shelter_Design!$Y$2:$Y$41,MATCH($B46,Shelter_Design!$A$2:$A$41,0))</f>
        <v>2</v>
      </c>
      <c r="AC46" s="3" t="str">
        <f aca="false">INDEX(Shelter_Design!$Z$2:$Z$41,MATCH($B46,Shelter_Design!$A$2:$A$41,0))</f>
        <v>Light</v>
      </c>
      <c r="AD46" s="3" t="n">
        <f aca="false">INDEX(Shelter_Design!$AA$2:$AA$41,MATCH($B46,Shelter_Design!$A$2:$A$41,0))</f>
        <v>0.5</v>
      </c>
      <c r="AE46" s="3" t="s">
        <v>304</v>
      </c>
    </row>
    <row r="47" customFormat="false" ht="15" hidden="false" customHeight="true" outlineLevel="0" collapsed="false">
      <c r="A47" s="3" t="s">
        <v>349</v>
      </c>
      <c r="B47" s="3" t="s">
        <v>244</v>
      </c>
      <c r="C47" s="3" t="s">
        <v>237</v>
      </c>
      <c r="D47" s="3" t="s">
        <v>303</v>
      </c>
      <c r="E47" s="3" t="s">
        <v>60</v>
      </c>
      <c r="F47" s="3" t="s">
        <v>22</v>
      </c>
      <c r="G47" s="3" t="str">
        <f aca="false">E47&amp;"-"&amp;F47</f>
        <v>Jaisalmer-January</v>
      </c>
      <c r="H47" s="3" t="n">
        <f aca="false">INDEX(Weather_Data!$K$2:$K$73,MATCH($G47,Weather_Data!$J$2:$J$73,0))</f>
        <v>15</v>
      </c>
      <c r="I47" s="3" t="n">
        <f aca="false">INDEX(Weather_Data!$L$2:$L$73,MATCH($G47,Weather_Data!$J$2:$J$73,0))</f>
        <v>35</v>
      </c>
      <c r="J47" s="3" t="n">
        <f aca="false">INDEX(Weather_Data!$M$2:$M$73,MATCH($G47,Weather_Data!$J$2:$J$73,0))</f>
        <v>2</v>
      </c>
      <c r="K47" s="3" t="n">
        <f aca="false">INDEX(Weather_Data!$P$2:$P$73,MATCH($G47,Weather_Data!$J$2:$J$73,0))</f>
        <v>187.5</v>
      </c>
      <c r="L47" s="3" t="n">
        <f aca="false">INDEX(Weather_Data!$Q$2:$Q$73,MATCH($G47,Weather_Data!$J$2:$J$73,0))</f>
        <v>3</v>
      </c>
      <c r="M47" s="3" t="str">
        <f aca="false">INDEX(Shelter_Design!$I$2:$I$41,MATCH($B47,Shelter_Design!$A$2:$A$41,0))</f>
        <v>M02</v>
      </c>
      <c r="N47" s="3" t="n">
        <f aca="false">IFERROR(INDEX(Material_Properties!$D$2:$D$21,MATCH(M47,Material_Properties!$A$2:$A$21,0)),1)</f>
        <v>0.7</v>
      </c>
      <c r="O47" s="3" t="n">
        <f aca="false">INDEX(Shelter_Design!$M$2:$M$41,MATCH($B47,Shelter_Design!$A$2:$A$41,0))</f>
        <v>230</v>
      </c>
      <c r="P47" s="3" t="str">
        <f aca="false">INDEX(Shelter_Design!$L$2:$L$41,MATCH($B47,Shelter_Design!$A$2:$A$41,0))</f>
        <v>None</v>
      </c>
      <c r="Q47" s="3" t="n">
        <f aca="false">IF(P47="None",0,IFERROR(INDEX(Material_Properties!$D$2:$D$21,MATCH(P47,Material_Properties!$A$2:$A$21,0)),0))</f>
        <v>0</v>
      </c>
      <c r="R47" s="3" t="n">
        <f aca="false">INDEX(Shelter_Design!$O$2:$O$41,MATCH($B47,Shelter_Design!$A$2:$A$41,0))</f>
        <v>0</v>
      </c>
      <c r="S47" s="3" t="n">
        <f aca="false">(O47/1000)/N47</f>
        <v>0.328571428571429</v>
      </c>
      <c r="T47" s="3" t="n">
        <f aca="false">IF(OR(P47="None",Q47=0),0,(R47/1000)/Q47)</f>
        <v>0</v>
      </c>
      <c r="U47" s="3" t="n">
        <v>0.17</v>
      </c>
      <c r="V47" s="3" t="n">
        <f aca="false">S47+T47+U47</f>
        <v>0.498571428571429</v>
      </c>
      <c r="W47" s="3" t="n">
        <f aca="false">1/V47</f>
        <v>2.00573065902579</v>
      </c>
      <c r="X47" s="3" t="n">
        <f aca="false">INDEX(Shelter_Design!$R$2:$R$41,MATCH($B47,Shelter_Design!$A$2:$A$41,0))</f>
        <v>51.6</v>
      </c>
      <c r="Y47" s="3" t="n">
        <f aca="false">INDEX(Shelter_Design!$P$2:$P$41,MATCH($B47,Shelter_Design!$A$2:$A$41,0))</f>
        <v>1.6</v>
      </c>
      <c r="Z47" s="3" t="n">
        <f aca="false">INDEX(Shelter_Design!$G$2:$G$41,MATCH($B47,Shelter_Design!$A$2:$A$41,0))</f>
        <v>63</v>
      </c>
      <c r="AA47" s="3" t="n">
        <f aca="false">INDEX(Shelter_Design!$S$2:$S$41,MATCH($B47,Shelter_Design!$A$2:$A$41,0))</f>
        <v>0.0300751879699248</v>
      </c>
      <c r="AB47" s="3" t="n">
        <f aca="false">INDEX(Shelter_Design!$Y$2:$Y$41,MATCH($B47,Shelter_Design!$A$2:$A$41,0))</f>
        <v>5</v>
      </c>
      <c r="AC47" s="3" t="str">
        <f aca="false">INDEX(Shelter_Design!$Z$2:$Z$41,MATCH($B47,Shelter_Design!$A$2:$A$41,0))</f>
        <v>Light</v>
      </c>
      <c r="AD47" s="3" t="n">
        <f aca="false">INDEX(Shelter_Design!$AA$2:$AA$41,MATCH($B47,Shelter_Design!$A$2:$A$41,0))</f>
        <v>0.5</v>
      </c>
      <c r="AE47" s="3" t="s">
        <v>304</v>
      </c>
    </row>
    <row r="48" customFormat="false" ht="15" hidden="false" customHeight="true" outlineLevel="0" collapsed="false">
      <c r="A48" s="3" t="s">
        <v>350</v>
      </c>
      <c r="B48" s="3" t="s">
        <v>244</v>
      </c>
      <c r="C48" s="3" t="s">
        <v>237</v>
      </c>
      <c r="D48" s="3" t="s">
        <v>303</v>
      </c>
      <c r="E48" s="3" t="s">
        <v>60</v>
      </c>
      <c r="F48" s="3" t="s">
        <v>33</v>
      </c>
      <c r="G48" s="3" t="str">
        <f aca="false">E48&amp;"-"&amp;F48</f>
        <v>Jaisalmer-April</v>
      </c>
      <c r="H48" s="3" t="n">
        <f aca="false">INDEX(Weather_Data!$K$2:$K$73,MATCH($G48,Weather_Data!$J$2:$J$73,0))</f>
        <v>32</v>
      </c>
      <c r="I48" s="3" t="n">
        <f aca="false">INDEX(Weather_Data!$L$2:$L$73,MATCH($G48,Weather_Data!$J$2:$J$73,0))</f>
        <v>20</v>
      </c>
      <c r="J48" s="3" t="n">
        <f aca="false">INDEX(Weather_Data!$M$2:$M$73,MATCH($G48,Weather_Data!$J$2:$J$73,0))</f>
        <v>4.5</v>
      </c>
      <c r="K48" s="3" t="n">
        <f aca="false">INDEX(Weather_Data!$P$2:$P$73,MATCH($G48,Weather_Data!$J$2:$J$73,0))</f>
        <v>283.333333333333</v>
      </c>
      <c r="L48" s="3" t="n">
        <f aca="false">INDEX(Weather_Data!$Q$2:$Q$73,MATCH($G48,Weather_Data!$J$2:$J$73,0))</f>
        <v>2</v>
      </c>
      <c r="M48" s="3" t="str">
        <f aca="false">INDEX(Shelter_Design!$I$2:$I$41,MATCH($B48,Shelter_Design!$A$2:$A$41,0))</f>
        <v>M02</v>
      </c>
      <c r="N48" s="3" t="n">
        <f aca="false">IFERROR(INDEX(Material_Properties!$D$2:$D$21,MATCH(M48,Material_Properties!$A$2:$A$21,0)),1)</f>
        <v>0.7</v>
      </c>
      <c r="O48" s="3" t="n">
        <f aca="false">INDEX(Shelter_Design!$M$2:$M$41,MATCH($B48,Shelter_Design!$A$2:$A$41,0))</f>
        <v>230</v>
      </c>
      <c r="P48" s="3" t="str">
        <f aca="false">INDEX(Shelter_Design!$L$2:$L$41,MATCH($B48,Shelter_Design!$A$2:$A$41,0))</f>
        <v>None</v>
      </c>
      <c r="Q48" s="3" t="n">
        <f aca="false">IF(P48="None",0,IFERROR(INDEX(Material_Properties!$D$2:$D$21,MATCH(P48,Material_Properties!$A$2:$A$21,0)),0))</f>
        <v>0</v>
      </c>
      <c r="R48" s="3" t="n">
        <f aca="false">INDEX(Shelter_Design!$O$2:$O$41,MATCH($B48,Shelter_Design!$A$2:$A$41,0))</f>
        <v>0</v>
      </c>
      <c r="S48" s="3" t="n">
        <f aca="false">(O48/1000)/N48</f>
        <v>0.328571428571429</v>
      </c>
      <c r="T48" s="3" t="n">
        <f aca="false">IF(OR(P48="None",Q48=0),0,(R48/1000)/Q48)</f>
        <v>0</v>
      </c>
      <c r="U48" s="3" t="n">
        <v>0.17</v>
      </c>
      <c r="V48" s="3" t="n">
        <f aca="false">S48+T48+U48</f>
        <v>0.498571428571429</v>
      </c>
      <c r="W48" s="3" t="n">
        <f aca="false">1/V48</f>
        <v>2.00573065902579</v>
      </c>
      <c r="X48" s="3" t="n">
        <f aca="false">INDEX(Shelter_Design!$R$2:$R$41,MATCH($B48,Shelter_Design!$A$2:$A$41,0))</f>
        <v>51.6</v>
      </c>
      <c r="Y48" s="3" t="n">
        <f aca="false">INDEX(Shelter_Design!$P$2:$P$41,MATCH($B48,Shelter_Design!$A$2:$A$41,0))</f>
        <v>1.6</v>
      </c>
      <c r="Z48" s="3" t="n">
        <f aca="false">INDEX(Shelter_Design!$G$2:$G$41,MATCH($B48,Shelter_Design!$A$2:$A$41,0))</f>
        <v>63</v>
      </c>
      <c r="AA48" s="3" t="n">
        <f aca="false">INDEX(Shelter_Design!$S$2:$S$41,MATCH($B48,Shelter_Design!$A$2:$A$41,0))</f>
        <v>0.0300751879699248</v>
      </c>
      <c r="AB48" s="3" t="n">
        <f aca="false">INDEX(Shelter_Design!$Y$2:$Y$41,MATCH($B48,Shelter_Design!$A$2:$A$41,0))</f>
        <v>5</v>
      </c>
      <c r="AC48" s="3" t="str">
        <f aca="false">INDEX(Shelter_Design!$Z$2:$Z$41,MATCH($B48,Shelter_Design!$A$2:$A$41,0))</f>
        <v>Light</v>
      </c>
      <c r="AD48" s="3" t="n">
        <f aca="false">INDEX(Shelter_Design!$AA$2:$AA$41,MATCH($B48,Shelter_Design!$A$2:$A$41,0))</f>
        <v>0.5</v>
      </c>
      <c r="AE48" s="3" t="s">
        <v>304</v>
      </c>
    </row>
    <row r="49" customFormat="false" ht="15" hidden="false" customHeight="true" outlineLevel="0" collapsed="false">
      <c r="A49" s="3" t="s">
        <v>351</v>
      </c>
      <c r="B49" s="3" t="s">
        <v>244</v>
      </c>
      <c r="C49" s="3" t="s">
        <v>237</v>
      </c>
      <c r="D49" s="3" t="s">
        <v>303</v>
      </c>
      <c r="E49" s="3" t="s">
        <v>60</v>
      </c>
      <c r="F49" s="3" t="s">
        <v>42</v>
      </c>
      <c r="G49" s="3" t="str">
        <f aca="false">E49&amp;"-"&amp;F49</f>
        <v>Jaisalmer-July</v>
      </c>
      <c r="H49" s="3" t="n">
        <f aca="false">INDEX(Weather_Data!$K$2:$K$73,MATCH($G49,Weather_Data!$J$2:$J$73,0))</f>
        <v>34</v>
      </c>
      <c r="I49" s="3" t="n">
        <f aca="false">INDEX(Weather_Data!$L$2:$L$73,MATCH($G49,Weather_Data!$J$2:$J$73,0))</f>
        <v>50</v>
      </c>
      <c r="J49" s="3" t="n">
        <f aca="false">INDEX(Weather_Data!$M$2:$M$73,MATCH($G49,Weather_Data!$J$2:$J$73,0))</f>
        <v>3.5</v>
      </c>
      <c r="K49" s="3" t="n">
        <f aca="false">INDEX(Weather_Data!$P$2:$P$73,MATCH($G49,Weather_Data!$J$2:$J$73,0))</f>
        <v>229.166666666667</v>
      </c>
      <c r="L49" s="3" t="n">
        <f aca="false">INDEX(Weather_Data!$Q$2:$Q$73,MATCH($G49,Weather_Data!$J$2:$J$73,0))</f>
        <v>60</v>
      </c>
      <c r="M49" s="3" t="str">
        <f aca="false">INDEX(Shelter_Design!$I$2:$I$41,MATCH($B49,Shelter_Design!$A$2:$A$41,0))</f>
        <v>M02</v>
      </c>
      <c r="N49" s="3" t="n">
        <f aca="false">IFERROR(INDEX(Material_Properties!$D$2:$D$21,MATCH(M49,Material_Properties!$A$2:$A$21,0)),1)</f>
        <v>0.7</v>
      </c>
      <c r="O49" s="3" t="n">
        <f aca="false">INDEX(Shelter_Design!$M$2:$M$41,MATCH($B49,Shelter_Design!$A$2:$A$41,0))</f>
        <v>230</v>
      </c>
      <c r="P49" s="3" t="str">
        <f aca="false">INDEX(Shelter_Design!$L$2:$L$41,MATCH($B49,Shelter_Design!$A$2:$A$41,0))</f>
        <v>None</v>
      </c>
      <c r="Q49" s="3" t="n">
        <f aca="false">IF(P49="None",0,IFERROR(INDEX(Material_Properties!$D$2:$D$21,MATCH(P49,Material_Properties!$A$2:$A$21,0)),0))</f>
        <v>0</v>
      </c>
      <c r="R49" s="3" t="n">
        <f aca="false">INDEX(Shelter_Design!$O$2:$O$41,MATCH($B49,Shelter_Design!$A$2:$A$41,0))</f>
        <v>0</v>
      </c>
      <c r="S49" s="3" t="n">
        <f aca="false">(O49/1000)/N49</f>
        <v>0.328571428571429</v>
      </c>
      <c r="T49" s="3" t="n">
        <f aca="false">IF(OR(P49="None",Q49=0),0,(R49/1000)/Q49)</f>
        <v>0</v>
      </c>
      <c r="U49" s="3" t="n">
        <v>0.17</v>
      </c>
      <c r="V49" s="3" t="n">
        <f aca="false">S49+T49+U49</f>
        <v>0.498571428571429</v>
      </c>
      <c r="W49" s="3" t="n">
        <f aca="false">1/V49</f>
        <v>2.00573065902579</v>
      </c>
      <c r="X49" s="3" t="n">
        <f aca="false">INDEX(Shelter_Design!$R$2:$R$41,MATCH($B49,Shelter_Design!$A$2:$A$41,0))</f>
        <v>51.6</v>
      </c>
      <c r="Y49" s="3" t="n">
        <f aca="false">INDEX(Shelter_Design!$P$2:$P$41,MATCH($B49,Shelter_Design!$A$2:$A$41,0))</f>
        <v>1.6</v>
      </c>
      <c r="Z49" s="3" t="n">
        <f aca="false">INDEX(Shelter_Design!$G$2:$G$41,MATCH($B49,Shelter_Design!$A$2:$A$41,0))</f>
        <v>63</v>
      </c>
      <c r="AA49" s="3" t="n">
        <f aca="false">INDEX(Shelter_Design!$S$2:$S$41,MATCH($B49,Shelter_Design!$A$2:$A$41,0))</f>
        <v>0.0300751879699248</v>
      </c>
      <c r="AB49" s="3" t="n">
        <f aca="false">INDEX(Shelter_Design!$Y$2:$Y$41,MATCH($B49,Shelter_Design!$A$2:$A$41,0))</f>
        <v>5</v>
      </c>
      <c r="AC49" s="3" t="str">
        <f aca="false">INDEX(Shelter_Design!$Z$2:$Z$41,MATCH($B49,Shelter_Design!$A$2:$A$41,0))</f>
        <v>Light</v>
      </c>
      <c r="AD49" s="3" t="n">
        <f aca="false">INDEX(Shelter_Design!$AA$2:$AA$41,MATCH($B49,Shelter_Design!$A$2:$A$41,0))</f>
        <v>0.5</v>
      </c>
      <c r="AE49" s="3" t="s">
        <v>304</v>
      </c>
    </row>
    <row r="50" customFormat="false" ht="15" hidden="false" customHeight="true" outlineLevel="0" collapsed="false">
      <c r="A50" s="3" t="s">
        <v>352</v>
      </c>
      <c r="B50" s="3" t="s">
        <v>244</v>
      </c>
      <c r="C50" s="3" t="s">
        <v>237</v>
      </c>
      <c r="D50" s="3" t="s">
        <v>303</v>
      </c>
      <c r="E50" s="3" t="s">
        <v>60</v>
      </c>
      <c r="F50" s="3" t="s">
        <v>46</v>
      </c>
      <c r="G50" s="3" t="str">
        <f aca="false">E50&amp;"-"&amp;F50</f>
        <v>Jaisalmer-September</v>
      </c>
      <c r="H50" s="3" t="n">
        <f aca="false">INDEX(Weather_Data!$K$2:$K$73,MATCH($G50,Weather_Data!$J$2:$J$73,0))</f>
        <v>32</v>
      </c>
      <c r="I50" s="3" t="n">
        <f aca="false">INDEX(Weather_Data!$L$2:$L$73,MATCH($G50,Weather_Data!$J$2:$J$73,0))</f>
        <v>45</v>
      </c>
      <c r="J50" s="3" t="n">
        <f aca="false">INDEX(Weather_Data!$M$2:$M$73,MATCH($G50,Weather_Data!$J$2:$J$73,0))</f>
        <v>2.5</v>
      </c>
      <c r="K50" s="3" t="n">
        <f aca="false">INDEX(Weather_Data!$P$2:$P$73,MATCH($G50,Weather_Data!$J$2:$J$73,0))</f>
        <v>241.666666666667</v>
      </c>
      <c r="L50" s="3" t="n">
        <f aca="false">INDEX(Weather_Data!$Q$2:$Q$73,MATCH($G50,Weather_Data!$J$2:$J$73,0))</f>
        <v>25</v>
      </c>
      <c r="M50" s="3" t="str">
        <f aca="false">INDEX(Shelter_Design!$I$2:$I$41,MATCH($B50,Shelter_Design!$A$2:$A$41,0))</f>
        <v>M02</v>
      </c>
      <c r="N50" s="3" t="n">
        <f aca="false">IFERROR(INDEX(Material_Properties!$D$2:$D$21,MATCH(M50,Material_Properties!$A$2:$A$21,0)),1)</f>
        <v>0.7</v>
      </c>
      <c r="O50" s="3" t="n">
        <f aca="false">INDEX(Shelter_Design!$M$2:$M$41,MATCH($B50,Shelter_Design!$A$2:$A$41,0))</f>
        <v>230</v>
      </c>
      <c r="P50" s="3" t="str">
        <f aca="false">INDEX(Shelter_Design!$L$2:$L$41,MATCH($B50,Shelter_Design!$A$2:$A$41,0))</f>
        <v>None</v>
      </c>
      <c r="Q50" s="3" t="n">
        <f aca="false">IF(P50="None",0,IFERROR(INDEX(Material_Properties!$D$2:$D$21,MATCH(P50,Material_Properties!$A$2:$A$21,0)),0))</f>
        <v>0</v>
      </c>
      <c r="R50" s="3" t="n">
        <f aca="false">INDEX(Shelter_Design!$O$2:$O$41,MATCH($B50,Shelter_Design!$A$2:$A$41,0))</f>
        <v>0</v>
      </c>
      <c r="S50" s="3" t="n">
        <f aca="false">(O50/1000)/N50</f>
        <v>0.328571428571429</v>
      </c>
      <c r="T50" s="3" t="n">
        <f aca="false">IF(OR(P50="None",Q50=0),0,(R50/1000)/Q50)</f>
        <v>0</v>
      </c>
      <c r="U50" s="3" t="n">
        <v>0.17</v>
      </c>
      <c r="V50" s="3" t="n">
        <f aca="false">S50+T50+U50</f>
        <v>0.498571428571429</v>
      </c>
      <c r="W50" s="3" t="n">
        <f aca="false">1/V50</f>
        <v>2.00573065902579</v>
      </c>
      <c r="X50" s="3" t="n">
        <f aca="false">INDEX(Shelter_Design!$R$2:$R$41,MATCH($B50,Shelter_Design!$A$2:$A$41,0))</f>
        <v>51.6</v>
      </c>
      <c r="Y50" s="3" t="n">
        <f aca="false">INDEX(Shelter_Design!$P$2:$P$41,MATCH($B50,Shelter_Design!$A$2:$A$41,0))</f>
        <v>1.6</v>
      </c>
      <c r="Z50" s="3" t="n">
        <f aca="false">INDEX(Shelter_Design!$G$2:$G$41,MATCH($B50,Shelter_Design!$A$2:$A$41,0))</f>
        <v>63</v>
      </c>
      <c r="AA50" s="3" t="n">
        <f aca="false">INDEX(Shelter_Design!$S$2:$S$41,MATCH($B50,Shelter_Design!$A$2:$A$41,0))</f>
        <v>0.0300751879699248</v>
      </c>
      <c r="AB50" s="3" t="n">
        <f aca="false">INDEX(Shelter_Design!$Y$2:$Y$41,MATCH($B50,Shelter_Design!$A$2:$A$41,0))</f>
        <v>5</v>
      </c>
      <c r="AC50" s="3" t="str">
        <f aca="false">INDEX(Shelter_Design!$Z$2:$Z$41,MATCH($B50,Shelter_Design!$A$2:$A$41,0))</f>
        <v>Light</v>
      </c>
      <c r="AD50" s="3" t="n">
        <f aca="false">INDEX(Shelter_Design!$AA$2:$AA$41,MATCH($B50,Shelter_Design!$A$2:$A$41,0))</f>
        <v>0.5</v>
      </c>
      <c r="AE50" s="3" t="s">
        <v>304</v>
      </c>
    </row>
    <row r="51" customFormat="false" ht="15" hidden="false" customHeight="true" outlineLevel="0" collapsed="false">
      <c r="A51" s="3" t="s">
        <v>353</v>
      </c>
      <c r="B51" s="3" t="s">
        <v>244</v>
      </c>
      <c r="C51" s="3" t="s">
        <v>237</v>
      </c>
      <c r="D51" s="3" t="s">
        <v>303</v>
      </c>
      <c r="E51" s="3" t="s">
        <v>60</v>
      </c>
      <c r="F51" s="3" t="s">
        <v>51</v>
      </c>
      <c r="G51" s="3" t="str">
        <f aca="false">E51&amp;"-"&amp;F51</f>
        <v>Jaisalmer-November</v>
      </c>
      <c r="H51" s="3" t="n">
        <f aca="false">INDEX(Weather_Data!$K$2:$K$73,MATCH($G51,Weather_Data!$J$2:$J$73,0))</f>
        <v>21</v>
      </c>
      <c r="I51" s="3" t="n">
        <f aca="false">INDEX(Weather_Data!$L$2:$L$73,MATCH($G51,Weather_Data!$J$2:$J$73,0))</f>
        <v>30</v>
      </c>
      <c r="J51" s="3" t="n">
        <f aca="false">INDEX(Weather_Data!$M$2:$M$73,MATCH($G51,Weather_Data!$J$2:$J$73,0))</f>
        <v>2</v>
      </c>
      <c r="K51" s="3" t="n">
        <f aca="false">INDEX(Weather_Data!$P$2:$P$73,MATCH($G51,Weather_Data!$J$2:$J$73,0))</f>
        <v>200</v>
      </c>
      <c r="L51" s="3" t="n">
        <f aca="false">INDEX(Weather_Data!$Q$2:$Q$73,MATCH($G51,Weather_Data!$J$2:$J$73,0))</f>
        <v>2</v>
      </c>
      <c r="M51" s="3" t="str">
        <f aca="false">INDEX(Shelter_Design!$I$2:$I$41,MATCH($B51,Shelter_Design!$A$2:$A$41,0))</f>
        <v>M02</v>
      </c>
      <c r="N51" s="3" t="n">
        <f aca="false">IFERROR(INDEX(Material_Properties!$D$2:$D$21,MATCH(M51,Material_Properties!$A$2:$A$21,0)),1)</f>
        <v>0.7</v>
      </c>
      <c r="O51" s="3" t="n">
        <f aca="false">INDEX(Shelter_Design!$M$2:$M$41,MATCH($B51,Shelter_Design!$A$2:$A$41,0))</f>
        <v>230</v>
      </c>
      <c r="P51" s="3" t="str">
        <f aca="false">INDEX(Shelter_Design!$L$2:$L$41,MATCH($B51,Shelter_Design!$A$2:$A$41,0))</f>
        <v>None</v>
      </c>
      <c r="Q51" s="3" t="n">
        <f aca="false">IF(P51="None",0,IFERROR(INDEX(Material_Properties!$D$2:$D$21,MATCH(P51,Material_Properties!$A$2:$A$21,0)),0))</f>
        <v>0</v>
      </c>
      <c r="R51" s="3" t="n">
        <f aca="false">INDEX(Shelter_Design!$O$2:$O$41,MATCH($B51,Shelter_Design!$A$2:$A$41,0))</f>
        <v>0</v>
      </c>
      <c r="S51" s="3" t="n">
        <f aca="false">(O51/1000)/N51</f>
        <v>0.328571428571429</v>
      </c>
      <c r="T51" s="3" t="n">
        <f aca="false">IF(OR(P51="None",Q51=0),0,(R51/1000)/Q51)</f>
        <v>0</v>
      </c>
      <c r="U51" s="3" t="n">
        <v>0.17</v>
      </c>
      <c r="V51" s="3" t="n">
        <f aca="false">S51+T51+U51</f>
        <v>0.498571428571429</v>
      </c>
      <c r="W51" s="3" t="n">
        <f aca="false">1/V51</f>
        <v>2.00573065902579</v>
      </c>
      <c r="X51" s="3" t="n">
        <f aca="false">INDEX(Shelter_Design!$R$2:$R$41,MATCH($B51,Shelter_Design!$A$2:$A$41,0))</f>
        <v>51.6</v>
      </c>
      <c r="Y51" s="3" t="n">
        <f aca="false">INDEX(Shelter_Design!$P$2:$P$41,MATCH($B51,Shelter_Design!$A$2:$A$41,0))</f>
        <v>1.6</v>
      </c>
      <c r="Z51" s="3" t="n">
        <f aca="false">INDEX(Shelter_Design!$G$2:$G$41,MATCH($B51,Shelter_Design!$A$2:$A$41,0))</f>
        <v>63</v>
      </c>
      <c r="AA51" s="3" t="n">
        <f aca="false">INDEX(Shelter_Design!$S$2:$S$41,MATCH($B51,Shelter_Design!$A$2:$A$41,0))</f>
        <v>0.0300751879699248</v>
      </c>
      <c r="AB51" s="3" t="n">
        <f aca="false">INDEX(Shelter_Design!$Y$2:$Y$41,MATCH($B51,Shelter_Design!$A$2:$A$41,0))</f>
        <v>5</v>
      </c>
      <c r="AC51" s="3" t="str">
        <f aca="false">INDEX(Shelter_Design!$Z$2:$Z$41,MATCH($B51,Shelter_Design!$A$2:$A$41,0))</f>
        <v>Light</v>
      </c>
      <c r="AD51" s="3" t="n">
        <f aca="false">INDEX(Shelter_Design!$AA$2:$AA$41,MATCH($B51,Shelter_Design!$A$2:$A$41,0))</f>
        <v>0.5</v>
      </c>
      <c r="AE51" s="3" t="s">
        <v>304</v>
      </c>
    </row>
    <row r="52" customFormat="false" ht="15" hidden="false" customHeight="true" outlineLevel="0" collapsed="false">
      <c r="A52" s="3" t="s">
        <v>354</v>
      </c>
      <c r="B52" s="3" t="s">
        <v>245</v>
      </c>
      <c r="C52" s="3" t="s">
        <v>237</v>
      </c>
      <c r="D52" s="3" t="s">
        <v>303</v>
      </c>
      <c r="E52" s="3" t="s">
        <v>60</v>
      </c>
      <c r="F52" s="3" t="s">
        <v>22</v>
      </c>
      <c r="G52" s="3" t="str">
        <f aca="false">E52&amp;"-"&amp;F52</f>
        <v>Jaisalmer-January</v>
      </c>
      <c r="H52" s="3" t="n">
        <f aca="false">INDEX(Weather_Data!$K$2:$K$73,MATCH($G52,Weather_Data!$J$2:$J$73,0))</f>
        <v>15</v>
      </c>
      <c r="I52" s="3" t="n">
        <f aca="false">INDEX(Weather_Data!$L$2:$L$73,MATCH($G52,Weather_Data!$J$2:$J$73,0))</f>
        <v>35</v>
      </c>
      <c r="J52" s="3" t="n">
        <f aca="false">INDEX(Weather_Data!$M$2:$M$73,MATCH($G52,Weather_Data!$J$2:$J$73,0))</f>
        <v>2</v>
      </c>
      <c r="K52" s="3" t="n">
        <f aca="false">INDEX(Weather_Data!$P$2:$P$73,MATCH($G52,Weather_Data!$J$2:$J$73,0))</f>
        <v>187.5</v>
      </c>
      <c r="L52" s="3" t="n">
        <f aca="false">INDEX(Weather_Data!$Q$2:$Q$73,MATCH($G52,Weather_Data!$J$2:$J$73,0))</f>
        <v>3</v>
      </c>
      <c r="M52" s="3" t="str">
        <f aca="false">INDEX(Shelter_Design!$I$2:$I$41,MATCH($B52,Shelter_Design!$A$2:$A$41,0))</f>
        <v>M02</v>
      </c>
      <c r="N52" s="3" t="n">
        <f aca="false">IFERROR(INDEX(Material_Properties!$D$2:$D$21,MATCH(M52,Material_Properties!$A$2:$A$21,0)),1)</f>
        <v>0.7</v>
      </c>
      <c r="O52" s="3" t="n">
        <f aca="false">INDEX(Shelter_Design!$M$2:$M$41,MATCH($B52,Shelter_Design!$A$2:$A$41,0))</f>
        <v>230</v>
      </c>
      <c r="P52" s="3" t="str">
        <f aca="false">INDEX(Shelter_Design!$L$2:$L$41,MATCH($B52,Shelter_Design!$A$2:$A$41,0))</f>
        <v>M08</v>
      </c>
      <c r="Q52" s="3" t="n">
        <f aca="false">IF(P52="None",0,IFERROR(INDEX(Material_Properties!$D$2:$D$21,MATCH(P52,Material_Properties!$A$2:$A$21,0)),0))</f>
        <v>0.031</v>
      </c>
      <c r="R52" s="3" t="n">
        <f aca="false">INDEX(Shelter_Design!$O$2:$O$41,MATCH($B52,Shelter_Design!$A$2:$A$41,0))</f>
        <v>30</v>
      </c>
      <c r="S52" s="3" t="n">
        <f aca="false">(O52/1000)/N52</f>
        <v>0.328571428571429</v>
      </c>
      <c r="T52" s="3" t="n">
        <f aca="false">IF(OR(P52="None",Q52=0),0,(R52/1000)/Q52)</f>
        <v>0.967741935483871</v>
      </c>
      <c r="U52" s="3" t="n">
        <v>0.17</v>
      </c>
      <c r="V52" s="3" t="n">
        <f aca="false">S52+T52+U52</f>
        <v>1.4663133640553</v>
      </c>
      <c r="W52" s="3" t="n">
        <f aca="false">1/V52</f>
        <v>0.681982463308086</v>
      </c>
      <c r="X52" s="3" t="n">
        <f aca="false">INDEX(Shelter_Design!$R$2:$R$41,MATCH($B52,Shelter_Design!$A$2:$A$41,0))</f>
        <v>32.8</v>
      </c>
      <c r="Y52" s="3" t="n">
        <f aca="false">INDEX(Shelter_Design!$P$2:$P$41,MATCH($B52,Shelter_Design!$A$2:$A$41,0))</f>
        <v>1</v>
      </c>
      <c r="Z52" s="3" t="n">
        <f aca="false">INDEX(Shelter_Design!$G$2:$G$41,MATCH($B52,Shelter_Design!$A$2:$A$41,0))</f>
        <v>27.3</v>
      </c>
      <c r="AA52" s="3" t="n">
        <f aca="false">INDEX(Shelter_Design!$S$2:$S$41,MATCH($B52,Shelter_Design!$A$2:$A$41,0))</f>
        <v>0.029585798816568</v>
      </c>
      <c r="AB52" s="3" t="n">
        <f aca="false">INDEX(Shelter_Design!$Y$2:$Y$41,MATCH($B52,Shelter_Design!$A$2:$A$41,0))</f>
        <v>2</v>
      </c>
      <c r="AC52" s="3" t="str">
        <f aca="false">INDEX(Shelter_Design!$Z$2:$Z$41,MATCH($B52,Shelter_Design!$A$2:$A$41,0))</f>
        <v>Light</v>
      </c>
      <c r="AD52" s="3" t="n">
        <f aca="false">INDEX(Shelter_Design!$AA$2:$AA$41,MATCH($B52,Shelter_Design!$A$2:$A$41,0))</f>
        <v>0.5</v>
      </c>
      <c r="AE52" s="3" t="s">
        <v>304</v>
      </c>
    </row>
    <row r="53" customFormat="false" ht="15" hidden="false" customHeight="true" outlineLevel="0" collapsed="false">
      <c r="A53" s="3" t="s">
        <v>355</v>
      </c>
      <c r="B53" s="3" t="s">
        <v>245</v>
      </c>
      <c r="C53" s="3" t="s">
        <v>237</v>
      </c>
      <c r="D53" s="3" t="s">
        <v>303</v>
      </c>
      <c r="E53" s="3" t="s">
        <v>60</v>
      </c>
      <c r="F53" s="3" t="s">
        <v>33</v>
      </c>
      <c r="G53" s="3" t="str">
        <f aca="false">E53&amp;"-"&amp;F53</f>
        <v>Jaisalmer-April</v>
      </c>
      <c r="H53" s="3" t="n">
        <f aca="false">INDEX(Weather_Data!$K$2:$K$73,MATCH($G53,Weather_Data!$J$2:$J$73,0))</f>
        <v>32</v>
      </c>
      <c r="I53" s="3" t="n">
        <f aca="false">INDEX(Weather_Data!$L$2:$L$73,MATCH($G53,Weather_Data!$J$2:$J$73,0))</f>
        <v>20</v>
      </c>
      <c r="J53" s="3" t="n">
        <f aca="false">INDEX(Weather_Data!$M$2:$M$73,MATCH($G53,Weather_Data!$J$2:$J$73,0))</f>
        <v>4.5</v>
      </c>
      <c r="K53" s="3" t="n">
        <f aca="false">INDEX(Weather_Data!$P$2:$P$73,MATCH($G53,Weather_Data!$J$2:$J$73,0))</f>
        <v>283.333333333333</v>
      </c>
      <c r="L53" s="3" t="n">
        <f aca="false">INDEX(Weather_Data!$Q$2:$Q$73,MATCH($G53,Weather_Data!$J$2:$J$73,0))</f>
        <v>2</v>
      </c>
      <c r="M53" s="3" t="str">
        <f aca="false">INDEX(Shelter_Design!$I$2:$I$41,MATCH($B53,Shelter_Design!$A$2:$A$41,0))</f>
        <v>M02</v>
      </c>
      <c r="N53" s="3" t="n">
        <f aca="false">IFERROR(INDEX(Material_Properties!$D$2:$D$21,MATCH(M53,Material_Properties!$A$2:$A$21,0)),1)</f>
        <v>0.7</v>
      </c>
      <c r="O53" s="3" t="n">
        <f aca="false">INDEX(Shelter_Design!$M$2:$M$41,MATCH($B53,Shelter_Design!$A$2:$A$41,0))</f>
        <v>230</v>
      </c>
      <c r="P53" s="3" t="str">
        <f aca="false">INDEX(Shelter_Design!$L$2:$L$41,MATCH($B53,Shelter_Design!$A$2:$A$41,0))</f>
        <v>M08</v>
      </c>
      <c r="Q53" s="3" t="n">
        <f aca="false">IF(P53="None",0,IFERROR(INDEX(Material_Properties!$D$2:$D$21,MATCH(P53,Material_Properties!$A$2:$A$21,0)),0))</f>
        <v>0.031</v>
      </c>
      <c r="R53" s="3" t="n">
        <f aca="false">INDEX(Shelter_Design!$O$2:$O$41,MATCH($B53,Shelter_Design!$A$2:$A$41,0))</f>
        <v>30</v>
      </c>
      <c r="S53" s="3" t="n">
        <f aca="false">(O53/1000)/N53</f>
        <v>0.328571428571429</v>
      </c>
      <c r="T53" s="3" t="n">
        <f aca="false">IF(OR(P53="None",Q53=0),0,(R53/1000)/Q53)</f>
        <v>0.967741935483871</v>
      </c>
      <c r="U53" s="3" t="n">
        <v>0.17</v>
      </c>
      <c r="V53" s="3" t="n">
        <f aca="false">S53+T53+U53</f>
        <v>1.4663133640553</v>
      </c>
      <c r="W53" s="3" t="n">
        <f aca="false">1/V53</f>
        <v>0.681982463308086</v>
      </c>
      <c r="X53" s="3" t="n">
        <f aca="false">INDEX(Shelter_Design!$R$2:$R$41,MATCH($B53,Shelter_Design!$A$2:$A$41,0))</f>
        <v>32.8</v>
      </c>
      <c r="Y53" s="3" t="n">
        <f aca="false">INDEX(Shelter_Design!$P$2:$P$41,MATCH($B53,Shelter_Design!$A$2:$A$41,0))</f>
        <v>1</v>
      </c>
      <c r="Z53" s="3" t="n">
        <f aca="false">INDEX(Shelter_Design!$G$2:$G$41,MATCH($B53,Shelter_Design!$A$2:$A$41,0))</f>
        <v>27.3</v>
      </c>
      <c r="AA53" s="3" t="n">
        <f aca="false">INDEX(Shelter_Design!$S$2:$S$41,MATCH($B53,Shelter_Design!$A$2:$A$41,0))</f>
        <v>0.029585798816568</v>
      </c>
      <c r="AB53" s="3" t="n">
        <f aca="false">INDEX(Shelter_Design!$Y$2:$Y$41,MATCH($B53,Shelter_Design!$A$2:$A$41,0))</f>
        <v>2</v>
      </c>
      <c r="AC53" s="3" t="str">
        <f aca="false">INDEX(Shelter_Design!$Z$2:$Z$41,MATCH($B53,Shelter_Design!$A$2:$A$41,0))</f>
        <v>Light</v>
      </c>
      <c r="AD53" s="3" t="n">
        <f aca="false">INDEX(Shelter_Design!$AA$2:$AA$41,MATCH($B53,Shelter_Design!$A$2:$A$41,0))</f>
        <v>0.5</v>
      </c>
      <c r="AE53" s="3" t="s">
        <v>304</v>
      </c>
    </row>
    <row r="54" customFormat="false" ht="15" hidden="false" customHeight="true" outlineLevel="0" collapsed="false">
      <c r="A54" s="3" t="s">
        <v>356</v>
      </c>
      <c r="B54" s="3" t="s">
        <v>245</v>
      </c>
      <c r="C54" s="3" t="s">
        <v>237</v>
      </c>
      <c r="D54" s="3" t="s">
        <v>303</v>
      </c>
      <c r="E54" s="3" t="s">
        <v>60</v>
      </c>
      <c r="F54" s="3" t="s">
        <v>42</v>
      </c>
      <c r="G54" s="3" t="str">
        <f aca="false">E54&amp;"-"&amp;F54</f>
        <v>Jaisalmer-July</v>
      </c>
      <c r="H54" s="3" t="n">
        <f aca="false">INDEX(Weather_Data!$K$2:$K$73,MATCH($G54,Weather_Data!$J$2:$J$73,0))</f>
        <v>34</v>
      </c>
      <c r="I54" s="3" t="n">
        <f aca="false">INDEX(Weather_Data!$L$2:$L$73,MATCH($G54,Weather_Data!$J$2:$J$73,0))</f>
        <v>50</v>
      </c>
      <c r="J54" s="3" t="n">
        <f aca="false">INDEX(Weather_Data!$M$2:$M$73,MATCH($G54,Weather_Data!$J$2:$J$73,0))</f>
        <v>3.5</v>
      </c>
      <c r="K54" s="3" t="n">
        <f aca="false">INDEX(Weather_Data!$P$2:$P$73,MATCH($G54,Weather_Data!$J$2:$J$73,0))</f>
        <v>229.166666666667</v>
      </c>
      <c r="L54" s="3" t="n">
        <f aca="false">INDEX(Weather_Data!$Q$2:$Q$73,MATCH($G54,Weather_Data!$J$2:$J$73,0))</f>
        <v>60</v>
      </c>
      <c r="M54" s="3" t="str">
        <f aca="false">INDEX(Shelter_Design!$I$2:$I$41,MATCH($B54,Shelter_Design!$A$2:$A$41,0))</f>
        <v>M02</v>
      </c>
      <c r="N54" s="3" t="n">
        <f aca="false">IFERROR(INDEX(Material_Properties!$D$2:$D$21,MATCH(M54,Material_Properties!$A$2:$A$21,0)),1)</f>
        <v>0.7</v>
      </c>
      <c r="O54" s="3" t="n">
        <f aca="false">INDEX(Shelter_Design!$M$2:$M$41,MATCH($B54,Shelter_Design!$A$2:$A$41,0))</f>
        <v>230</v>
      </c>
      <c r="P54" s="3" t="str">
        <f aca="false">INDEX(Shelter_Design!$L$2:$L$41,MATCH($B54,Shelter_Design!$A$2:$A$41,0))</f>
        <v>M08</v>
      </c>
      <c r="Q54" s="3" t="n">
        <f aca="false">IF(P54="None",0,IFERROR(INDEX(Material_Properties!$D$2:$D$21,MATCH(P54,Material_Properties!$A$2:$A$21,0)),0))</f>
        <v>0.031</v>
      </c>
      <c r="R54" s="3" t="n">
        <f aca="false">INDEX(Shelter_Design!$O$2:$O$41,MATCH($B54,Shelter_Design!$A$2:$A$41,0))</f>
        <v>30</v>
      </c>
      <c r="S54" s="3" t="n">
        <f aca="false">(O54/1000)/N54</f>
        <v>0.328571428571429</v>
      </c>
      <c r="T54" s="3" t="n">
        <f aca="false">IF(OR(P54="None",Q54=0),0,(R54/1000)/Q54)</f>
        <v>0.967741935483871</v>
      </c>
      <c r="U54" s="3" t="n">
        <v>0.17</v>
      </c>
      <c r="V54" s="3" t="n">
        <f aca="false">S54+T54+U54</f>
        <v>1.4663133640553</v>
      </c>
      <c r="W54" s="3" t="n">
        <f aca="false">1/V54</f>
        <v>0.681982463308086</v>
      </c>
      <c r="X54" s="3" t="n">
        <f aca="false">INDEX(Shelter_Design!$R$2:$R$41,MATCH($B54,Shelter_Design!$A$2:$A$41,0))</f>
        <v>32.8</v>
      </c>
      <c r="Y54" s="3" t="n">
        <f aca="false">INDEX(Shelter_Design!$P$2:$P$41,MATCH($B54,Shelter_Design!$A$2:$A$41,0))</f>
        <v>1</v>
      </c>
      <c r="Z54" s="3" t="n">
        <f aca="false">INDEX(Shelter_Design!$G$2:$G$41,MATCH($B54,Shelter_Design!$A$2:$A$41,0))</f>
        <v>27.3</v>
      </c>
      <c r="AA54" s="3" t="n">
        <f aca="false">INDEX(Shelter_Design!$S$2:$S$41,MATCH($B54,Shelter_Design!$A$2:$A$41,0))</f>
        <v>0.029585798816568</v>
      </c>
      <c r="AB54" s="3" t="n">
        <f aca="false">INDEX(Shelter_Design!$Y$2:$Y$41,MATCH($B54,Shelter_Design!$A$2:$A$41,0))</f>
        <v>2</v>
      </c>
      <c r="AC54" s="3" t="str">
        <f aca="false">INDEX(Shelter_Design!$Z$2:$Z$41,MATCH($B54,Shelter_Design!$A$2:$A$41,0))</f>
        <v>Light</v>
      </c>
      <c r="AD54" s="3" t="n">
        <f aca="false">INDEX(Shelter_Design!$AA$2:$AA$41,MATCH($B54,Shelter_Design!$A$2:$A$41,0))</f>
        <v>0.5</v>
      </c>
      <c r="AE54" s="3" t="s">
        <v>304</v>
      </c>
    </row>
    <row r="55" customFormat="false" ht="15" hidden="false" customHeight="true" outlineLevel="0" collapsed="false">
      <c r="A55" s="3" t="s">
        <v>357</v>
      </c>
      <c r="B55" s="3" t="s">
        <v>245</v>
      </c>
      <c r="C55" s="3" t="s">
        <v>237</v>
      </c>
      <c r="D55" s="3" t="s">
        <v>303</v>
      </c>
      <c r="E55" s="3" t="s">
        <v>60</v>
      </c>
      <c r="F55" s="3" t="s">
        <v>46</v>
      </c>
      <c r="G55" s="3" t="str">
        <f aca="false">E55&amp;"-"&amp;F55</f>
        <v>Jaisalmer-September</v>
      </c>
      <c r="H55" s="3" t="n">
        <f aca="false">INDEX(Weather_Data!$K$2:$K$73,MATCH($G55,Weather_Data!$J$2:$J$73,0))</f>
        <v>32</v>
      </c>
      <c r="I55" s="3" t="n">
        <f aca="false">INDEX(Weather_Data!$L$2:$L$73,MATCH($G55,Weather_Data!$J$2:$J$73,0))</f>
        <v>45</v>
      </c>
      <c r="J55" s="3" t="n">
        <f aca="false">INDEX(Weather_Data!$M$2:$M$73,MATCH($G55,Weather_Data!$J$2:$J$73,0))</f>
        <v>2.5</v>
      </c>
      <c r="K55" s="3" t="n">
        <f aca="false">INDEX(Weather_Data!$P$2:$P$73,MATCH($G55,Weather_Data!$J$2:$J$73,0))</f>
        <v>241.666666666667</v>
      </c>
      <c r="L55" s="3" t="n">
        <f aca="false">INDEX(Weather_Data!$Q$2:$Q$73,MATCH($G55,Weather_Data!$J$2:$J$73,0))</f>
        <v>25</v>
      </c>
      <c r="M55" s="3" t="str">
        <f aca="false">INDEX(Shelter_Design!$I$2:$I$41,MATCH($B55,Shelter_Design!$A$2:$A$41,0))</f>
        <v>M02</v>
      </c>
      <c r="N55" s="3" t="n">
        <f aca="false">IFERROR(INDEX(Material_Properties!$D$2:$D$21,MATCH(M55,Material_Properties!$A$2:$A$21,0)),1)</f>
        <v>0.7</v>
      </c>
      <c r="O55" s="3" t="n">
        <f aca="false">INDEX(Shelter_Design!$M$2:$M$41,MATCH($B55,Shelter_Design!$A$2:$A$41,0))</f>
        <v>230</v>
      </c>
      <c r="P55" s="3" t="str">
        <f aca="false">INDEX(Shelter_Design!$L$2:$L$41,MATCH($B55,Shelter_Design!$A$2:$A$41,0))</f>
        <v>M08</v>
      </c>
      <c r="Q55" s="3" t="n">
        <f aca="false">IF(P55="None",0,IFERROR(INDEX(Material_Properties!$D$2:$D$21,MATCH(P55,Material_Properties!$A$2:$A$21,0)),0))</f>
        <v>0.031</v>
      </c>
      <c r="R55" s="3" t="n">
        <f aca="false">INDEX(Shelter_Design!$O$2:$O$41,MATCH($B55,Shelter_Design!$A$2:$A$41,0))</f>
        <v>30</v>
      </c>
      <c r="S55" s="3" t="n">
        <f aca="false">(O55/1000)/N55</f>
        <v>0.328571428571429</v>
      </c>
      <c r="T55" s="3" t="n">
        <f aca="false">IF(OR(P55="None",Q55=0),0,(R55/1000)/Q55)</f>
        <v>0.967741935483871</v>
      </c>
      <c r="U55" s="3" t="n">
        <v>0.17</v>
      </c>
      <c r="V55" s="3" t="n">
        <f aca="false">S55+T55+U55</f>
        <v>1.4663133640553</v>
      </c>
      <c r="W55" s="3" t="n">
        <f aca="false">1/V55</f>
        <v>0.681982463308086</v>
      </c>
      <c r="X55" s="3" t="n">
        <f aca="false">INDEX(Shelter_Design!$R$2:$R$41,MATCH($B55,Shelter_Design!$A$2:$A$41,0))</f>
        <v>32.8</v>
      </c>
      <c r="Y55" s="3" t="n">
        <f aca="false">INDEX(Shelter_Design!$P$2:$P$41,MATCH($B55,Shelter_Design!$A$2:$A$41,0))</f>
        <v>1</v>
      </c>
      <c r="Z55" s="3" t="n">
        <f aca="false">INDEX(Shelter_Design!$G$2:$G$41,MATCH($B55,Shelter_Design!$A$2:$A$41,0))</f>
        <v>27.3</v>
      </c>
      <c r="AA55" s="3" t="n">
        <f aca="false">INDEX(Shelter_Design!$S$2:$S$41,MATCH($B55,Shelter_Design!$A$2:$A$41,0))</f>
        <v>0.029585798816568</v>
      </c>
      <c r="AB55" s="3" t="n">
        <f aca="false">INDEX(Shelter_Design!$Y$2:$Y$41,MATCH($B55,Shelter_Design!$A$2:$A$41,0))</f>
        <v>2</v>
      </c>
      <c r="AC55" s="3" t="str">
        <f aca="false">INDEX(Shelter_Design!$Z$2:$Z$41,MATCH($B55,Shelter_Design!$A$2:$A$41,0))</f>
        <v>Light</v>
      </c>
      <c r="AD55" s="3" t="n">
        <f aca="false">INDEX(Shelter_Design!$AA$2:$AA$41,MATCH($B55,Shelter_Design!$A$2:$A$41,0))</f>
        <v>0.5</v>
      </c>
      <c r="AE55" s="3" t="s">
        <v>304</v>
      </c>
    </row>
    <row r="56" customFormat="false" ht="15" hidden="false" customHeight="true" outlineLevel="0" collapsed="false">
      <c r="A56" s="3" t="s">
        <v>358</v>
      </c>
      <c r="B56" s="3" t="s">
        <v>245</v>
      </c>
      <c r="C56" s="3" t="s">
        <v>237</v>
      </c>
      <c r="D56" s="3" t="s">
        <v>303</v>
      </c>
      <c r="E56" s="3" t="s">
        <v>60</v>
      </c>
      <c r="F56" s="3" t="s">
        <v>51</v>
      </c>
      <c r="G56" s="3" t="str">
        <f aca="false">E56&amp;"-"&amp;F56</f>
        <v>Jaisalmer-November</v>
      </c>
      <c r="H56" s="3" t="n">
        <f aca="false">INDEX(Weather_Data!$K$2:$K$73,MATCH($G56,Weather_Data!$J$2:$J$73,0))</f>
        <v>21</v>
      </c>
      <c r="I56" s="3" t="n">
        <f aca="false">INDEX(Weather_Data!$L$2:$L$73,MATCH($G56,Weather_Data!$J$2:$J$73,0))</f>
        <v>30</v>
      </c>
      <c r="J56" s="3" t="n">
        <f aca="false">INDEX(Weather_Data!$M$2:$M$73,MATCH($G56,Weather_Data!$J$2:$J$73,0))</f>
        <v>2</v>
      </c>
      <c r="K56" s="3" t="n">
        <f aca="false">INDEX(Weather_Data!$P$2:$P$73,MATCH($G56,Weather_Data!$J$2:$J$73,0))</f>
        <v>200</v>
      </c>
      <c r="L56" s="3" t="n">
        <f aca="false">INDEX(Weather_Data!$Q$2:$Q$73,MATCH($G56,Weather_Data!$J$2:$J$73,0))</f>
        <v>2</v>
      </c>
      <c r="M56" s="3" t="str">
        <f aca="false">INDEX(Shelter_Design!$I$2:$I$41,MATCH($B56,Shelter_Design!$A$2:$A$41,0))</f>
        <v>M02</v>
      </c>
      <c r="N56" s="3" t="n">
        <f aca="false">IFERROR(INDEX(Material_Properties!$D$2:$D$21,MATCH(M56,Material_Properties!$A$2:$A$21,0)),1)</f>
        <v>0.7</v>
      </c>
      <c r="O56" s="3" t="n">
        <f aca="false">INDEX(Shelter_Design!$M$2:$M$41,MATCH($B56,Shelter_Design!$A$2:$A$41,0))</f>
        <v>230</v>
      </c>
      <c r="P56" s="3" t="str">
        <f aca="false">INDEX(Shelter_Design!$L$2:$L$41,MATCH($B56,Shelter_Design!$A$2:$A$41,0))</f>
        <v>M08</v>
      </c>
      <c r="Q56" s="3" t="n">
        <f aca="false">IF(P56="None",0,IFERROR(INDEX(Material_Properties!$D$2:$D$21,MATCH(P56,Material_Properties!$A$2:$A$21,0)),0))</f>
        <v>0.031</v>
      </c>
      <c r="R56" s="3" t="n">
        <f aca="false">INDEX(Shelter_Design!$O$2:$O$41,MATCH($B56,Shelter_Design!$A$2:$A$41,0))</f>
        <v>30</v>
      </c>
      <c r="S56" s="3" t="n">
        <f aca="false">(O56/1000)/N56</f>
        <v>0.328571428571429</v>
      </c>
      <c r="T56" s="3" t="n">
        <f aca="false">IF(OR(P56="None",Q56=0),0,(R56/1000)/Q56)</f>
        <v>0.967741935483871</v>
      </c>
      <c r="U56" s="3" t="n">
        <v>0.17</v>
      </c>
      <c r="V56" s="3" t="n">
        <f aca="false">S56+T56+U56</f>
        <v>1.4663133640553</v>
      </c>
      <c r="W56" s="3" t="n">
        <f aca="false">1/V56</f>
        <v>0.681982463308086</v>
      </c>
      <c r="X56" s="3" t="n">
        <f aca="false">INDEX(Shelter_Design!$R$2:$R$41,MATCH($B56,Shelter_Design!$A$2:$A$41,0))</f>
        <v>32.8</v>
      </c>
      <c r="Y56" s="3" t="n">
        <f aca="false">INDEX(Shelter_Design!$P$2:$P$41,MATCH($B56,Shelter_Design!$A$2:$A$41,0))</f>
        <v>1</v>
      </c>
      <c r="Z56" s="3" t="n">
        <f aca="false">INDEX(Shelter_Design!$G$2:$G$41,MATCH($B56,Shelter_Design!$A$2:$A$41,0))</f>
        <v>27.3</v>
      </c>
      <c r="AA56" s="3" t="n">
        <f aca="false">INDEX(Shelter_Design!$S$2:$S$41,MATCH($B56,Shelter_Design!$A$2:$A$41,0))</f>
        <v>0.029585798816568</v>
      </c>
      <c r="AB56" s="3" t="n">
        <f aca="false">INDEX(Shelter_Design!$Y$2:$Y$41,MATCH($B56,Shelter_Design!$A$2:$A$41,0))</f>
        <v>2</v>
      </c>
      <c r="AC56" s="3" t="str">
        <f aca="false">INDEX(Shelter_Design!$Z$2:$Z$41,MATCH($B56,Shelter_Design!$A$2:$A$41,0))</f>
        <v>Light</v>
      </c>
      <c r="AD56" s="3" t="n">
        <f aca="false">INDEX(Shelter_Design!$AA$2:$AA$41,MATCH($B56,Shelter_Design!$A$2:$A$41,0))</f>
        <v>0.5</v>
      </c>
      <c r="AE56" s="3" t="s">
        <v>304</v>
      </c>
    </row>
    <row r="57" customFormat="false" ht="15" hidden="false" customHeight="true" outlineLevel="0" collapsed="false">
      <c r="A57" s="3" t="s">
        <v>359</v>
      </c>
      <c r="B57" s="3" t="s">
        <v>246</v>
      </c>
      <c r="C57" s="3" t="s">
        <v>237</v>
      </c>
      <c r="D57" s="3" t="s">
        <v>303</v>
      </c>
      <c r="E57" s="3" t="s">
        <v>60</v>
      </c>
      <c r="F57" s="3" t="s">
        <v>22</v>
      </c>
      <c r="G57" s="3" t="str">
        <f aca="false">E57&amp;"-"&amp;F57</f>
        <v>Jaisalmer-January</v>
      </c>
      <c r="H57" s="3" t="n">
        <f aca="false">INDEX(Weather_Data!$K$2:$K$73,MATCH($G57,Weather_Data!$J$2:$J$73,0))</f>
        <v>15</v>
      </c>
      <c r="I57" s="3" t="n">
        <f aca="false">INDEX(Weather_Data!$L$2:$L$73,MATCH($G57,Weather_Data!$J$2:$J$73,0))</f>
        <v>35</v>
      </c>
      <c r="J57" s="3" t="n">
        <f aca="false">INDEX(Weather_Data!$M$2:$M$73,MATCH($G57,Weather_Data!$J$2:$J$73,0))</f>
        <v>2</v>
      </c>
      <c r="K57" s="3" t="n">
        <f aca="false">INDEX(Weather_Data!$P$2:$P$73,MATCH($G57,Weather_Data!$J$2:$J$73,0))</f>
        <v>187.5</v>
      </c>
      <c r="L57" s="3" t="n">
        <f aca="false">INDEX(Weather_Data!$Q$2:$Q$73,MATCH($G57,Weather_Data!$J$2:$J$73,0))</f>
        <v>3</v>
      </c>
      <c r="M57" s="3" t="str">
        <f aca="false">INDEX(Shelter_Design!$I$2:$I$41,MATCH($B57,Shelter_Design!$A$2:$A$41,0))</f>
        <v>M02</v>
      </c>
      <c r="N57" s="3" t="n">
        <f aca="false">IFERROR(INDEX(Material_Properties!$D$2:$D$21,MATCH(M57,Material_Properties!$A$2:$A$21,0)),1)</f>
        <v>0.7</v>
      </c>
      <c r="O57" s="3" t="n">
        <f aca="false">INDEX(Shelter_Design!$M$2:$M$41,MATCH($B57,Shelter_Design!$A$2:$A$41,0))</f>
        <v>230</v>
      </c>
      <c r="P57" s="3" t="str">
        <f aca="false">INDEX(Shelter_Design!$L$2:$L$41,MATCH($B57,Shelter_Design!$A$2:$A$41,0))</f>
        <v>M08</v>
      </c>
      <c r="Q57" s="3" t="n">
        <f aca="false">IF(P57="None",0,IFERROR(INDEX(Material_Properties!$D$2:$D$21,MATCH(P57,Material_Properties!$A$2:$A$21,0)),0))</f>
        <v>0.031</v>
      </c>
      <c r="R57" s="3" t="n">
        <f aca="false">INDEX(Shelter_Design!$O$2:$O$41,MATCH($B57,Shelter_Design!$A$2:$A$41,0))</f>
        <v>30</v>
      </c>
      <c r="S57" s="3" t="n">
        <f aca="false">(O57/1000)/N57</f>
        <v>0.328571428571429</v>
      </c>
      <c r="T57" s="3" t="n">
        <f aca="false">IF(OR(P57="None",Q57=0),0,(R57/1000)/Q57)</f>
        <v>0.967741935483871</v>
      </c>
      <c r="U57" s="3" t="n">
        <v>0.17</v>
      </c>
      <c r="V57" s="3" t="n">
        <f aca="false">S57+T57+U57</f>
        <v>1.4663133640553</v>
      </c>
      <c r="W57" s="3" t="n">
        <f aca="false">1/V57</f>
        <v>0.681982463308086</v>
      </c>
      <c r="X57" s="3" t="n">
        <f aca="false">INDEX(Shelter_Design!$R$2:$R$41,MATCH($B57,Shelter_Design!$A$2:$A$41,0))</f>
        <v>51.6</v>
      </c>
      <c r="Y57" s="3" t="n">
        <f aca="false">INDEX(Shelter_Design!$P$2:$P$41,MATCH($B57,Shelter_Design!$A$2:$A$41,0))</f>
        <v>1.6</v>
      </c>
      <c r="Z57" s="3" t="n">
        <f aca="false">INDEX(Shelter_Design!$G$2:$G$41,MATCH($B57,Shelter_Design!$A$2:$A$41,0))</f>
        <v>63</v>
      </c>
      <c r="AA57" s="3" t="n">
        <f aca="false">INDEX(Shelter_Design!$S$2:$S$41,MATCH($B57,Shelter_Design!$A$2:$A$41,0))</f>
        <v>0.0300751879699248</v>
      </c>
      <c r="AB57" s="3" t="n">
        <f aca="false">INDEX(Shelter_Design!$Y$2:$Y$41,MATCH($B57,Shelter_Design!$A$2:$A$41,0))</f>
        <v>5</v>
      </c>
      <c r="AC57" s="3" t="str">
        <f aca="false">INDEX(Shelter_Design!$Z$2:$Z$41,MATCH($B57,Shelter_Design!$A$2:$A$41,0))</f>
        <v>Light</v>
      </c>
      <c r="AD57" s="3" t="n">
        <f aca="false">INDEX(Shelter_Design!$AA$2:$AA$41,MATCH($B57,Shelter_Design!$A$2:$A$41,0))</f>
        <v>0.5</v>
      </c>
      <c r="AE57" s="3" t="s">
        <v>304</v>
      </c>
    </row>
    <row r="58" customFormat="false" ht="15" hidden="false" customHeight="true" outlineLevel="0" collapsed="false">
      <c r="A58" s="3" t="s">
        <v>360</v>
      </c>
      <c r="B58" s="3" t="s">
        <v>246</v>
      </c>
      <c r="C58" s="3" t="s">
        <v>237</v>
      </c>
      <c r="D58" s="3" t="s">
        <v>303</v>
      </c>
      <c r="E58" s="3" t="s">
        <v>60</v>
      </c>
      <c r="F58" s="3" t="s">
        <v>33</v>
      </c>
      <c r="G58" s="3" t="str">
        <f aca="false">E58&amp;"-"&amp;F58</f>
        <v>Jaisalmer-April</v>
      </c>
      <c r="H58" s="3" t="n">
        <f aca="false">INDEX(Weather_Data!$K$2:$K$73,MATCH($G58,Weather_Data!$J$2:$J$73,0))</f>
        <v>32</v>
      </c>
      <c r="I58" s="3" t="n">
        <f aca="false">INDEX(Weather_Data!$L$2:$L$73,MATCH($G58,Weather_Data!$J$2:$J$73,0))</f>
        <v>20</v>
      </c>
      <c r="J58" s="3" t="n">
        <f aca="false">INDEX(Weather_Data!$M$2:$M$73,MATCH($G58,Weather_Data!$J$2:$J$73,0))</f>
        <v>4.5</v>
      </c>
      <c r="K58" s="3" t="n">
        <f aca="false">INDEX(Weather_Data!$P$2:$P$73,MATCH($G58,Weather_Data!$J$2:$J$73,0))</f>
        <v>283.333333333333</v>
      </c>
      <c r="L58" s="3" t="n">
        <f aca="false">INDEX(Weather_Data!$Q$2:$Q$73,MATCH($G58,Weather_Data!$J$2:$J$73,0))</f>
        <v>2</v>
      </c>
      <c r="M58" s="3" t="str">
        <f aca="false">INDEX(Shelter_Design!$I$2:$I$41,MATCH($B58,Shelter_Design!$A$2:$A$41,0))</f>
        <v>M02</v>
      </c>
      <c r="N58" s="3" t="n">
        <f aca="false">IFERROR(INDEX(Material_Properties!$D$2:$D$21,MATCH(M58,Material_Properties!$A$2:$A$21,0)),1)</f>
        <v>0.7</v>
      </c>
      <c r="O58" s="3" t="n">
        <f aca="false">INDEX(Shelter_Design!$M$2:$M$41,MATCH($B58,Shelter_Design!$A$2:$A$41,0))</f>
        <v>230</v>
      </c>
      <c r="P58" s="3" t="str">
        <f aca="false">INDEX(Shelter_Design!$L$2:$L$41,MATCH($B58,Shelter_Design!$A$2:$A$41,0))</f>
        <v>M08</v>
      </c>
      <c r="Q58" s="3" t="n">
        <f aca="false">IF(P58="None",0,IFERROR(INDEX(Material_Properties!$D$2:$D$21,MATCH(P58,Material_Properties!$A$2:$A$21,0)),0))</f>
        <v>0.031</v>
      </c>
      <c r="R58" s="3" t="n">
        <f aca="false">INDEX(Shelter_Design!$O$2:$O$41,MATCH($B58,Shelter_Design!$A$2:$A$41,0))</f>
        <v>30</v>
      </c>
      <c r="S58" s="3" t="n">
        <f aca="false">(O58/1000)/N58</f>
        <v>0.328571428571429</v>
      </c>
      <c r="T58" s="3" t="n">
        <f aca="false">IF(OR(P58="None",Q58=0),0,(R58/1000)/Q58)</f>
        <v>0.967741935483871</v>
      </c>
      <c r="U58" s="3" t="n">
        <v>0.17</v>
      </c>
      <c r="V58" s="3" t="n">
        <f aca="false">S58+T58+U58</f>
        <v>1.4663133640553</v>
      </c>
      <c r="W58" s="3" t="n">
        <f aca="false">1/V58</f>
        <v>0.681982463308086</v>
      </c>
      <c r="X58" s="3" t="n">
        <f aca="false">INDEX(Shelter_Design!$R$2:$R$41,MATCH($B58,Shelter_Design!$A$2:$A$41,0))</f>
        <v>51.6</v>
      </c>
      <c r="Y58" s="3" t="n">
        <f aca="false">INDEX(Shelter_Design!$P$2:$P$41,MATCH($B58,Shelter_Design!$A$2:$A$41,0))</f>
        <v>1.6</v>
      </c>
      <c r="Z58" s="3" t="n">
        <f aca="false">INDEX(Shelter_Design!$G$2:$G$41,MATCH($B58,Shelter_Design!$A$2:$A$41,0))</f>
        <v>63</v>
      </c>
      <c r="AA58" s="3" t="n">
        <f aca="false">INDEX(Shelter_Design!$S$2:$S$41,MATCH($B58,Shelter_Design!$A$2:$A$41,0))</f>
        <v>0.0300751879699248</v>
      </c>
      <c r="AB58" s="3" t="n">
        <f aca="false">INDEX(Shelter_Design!$Y$2:$Y$41,MATCH($B58,Shelter_Design!$A$2:$A$41,0))</f>
        <v>5</v>
      </c>
      <c r="AC58" s="3" t="str">
        <f aca="false">INDEX(Shelter_Design!$Z$2:$Z$41,MATCH($B58,Shelter_Design!$A$2:$A$41,0))</f>
        <v>Light</v>
      </c>
      <c r="AD58" s="3" t="n">
        <f aca="false">INDEX(Shelter_Design!$AA$2:$AA$41,MATCH($B58,Shelter_Design!$A$2:$A$41,0))</f>
        <v>0.5</v>
      </c>
      <c r="AE58" s="3" t="s">
        <v>304</v>
      </c>
    </row>
    <row r="59" customFormat="false" ht="15" hidden="false" customHeight="true" outlineLevel="0" collapsed="false">
      <c r="A59" s="3" t="s">
        <v>361</v>
      </c>
      <c r="B59" s="3" t="s">
        <v>246</v>
      </c>
      <c r="C59" s="3" t="s">
        <v>237</v>
      </c>
      <c r="D59" s="3" t="s">
        <v>303</v>
      </c>
      <c r="E59" s="3" t="s">
        <v>60</v>
      </c>
      <c r="F59" s="3" t="s">
        <v>42</v>
      </c>
      <c r="G59" s="3" t="str">
        <f aca="false">E59&amp;"-"&amp;F59</f>
        <v>Jaisalmer-July</v>
      </c>
      <c r="H59" s="3" t="n">
        <f aca="false">INDEX(Weather_Data!$K$2:$K$73,MATCH($G59,Weather_Data!$J$2:$J$73,0))</f>
        <v>34</v>
      </c>
      <c r="I59" s="3" t="n">
        <f aca="false">INDEX(Weather_Data!$L$2:$L$73,MATCH($G59,Weather_Data!$J$2:$J$73,0))</f>
        <v>50</v>
      </c>
      <c r="J59" s="3" t="n">
        <f aca="false">INDEX(Weather_Data!$M$2:$M$73,MATCH($G59,Weather_Data!$J$2:$J$73,0))</f>
        <v>3.5</v>
      </c>
      <c r="K59" s="3" t="n">
        <f aca="false">INDEX(Weather_Data!$P$2:$P$73,MATCH($G59,Weather_Data!$J$2:$J$73,0))</f>
        <v>229.166666666667</v>
      </c>
      <c r="L59" s="3" t="n">
        <f aca="false">INDEX(Weather_Data!$Q$2:$Q$73,MATCH($G59,Weather_Data!$J$2:$J$73,0))</f>
        <v>60</v>
      </c>
      <c r="M59" s="3" t="str">
        <f aca="false">INDEX(Shelter_Design!$I$2:$I$41,MATCH($B59,Shelter_Design!$A$2:$A$41,0))</f>
        <v>M02</v>
      </c>
      <c r="N59" s="3" t="n">
        <f aca="false">IFERROR(INDEX(Material_Properties!$D$2:$D$21,MATCH(M59,Material_Properties!$A$2:$A$21,0)),1)</f>
        <v>0.7</v>
      </c>
      <c r="O59" s="3" t="n">
        <f aca="false">INDEX(Shelter_Design!$M$2:$M$41,MATCH($B59,Shelter_Design!$A$2:$A$41,0))</f>
        <v>230</v>
      </c>
      <c r="P59" s="3" t="str">
        <f aca="false">INDEX(Shelter_Design!$L$2:$L$41,MATCH($B59,Shelter_Design!$A$2:$A$41,0))</f>
        <v>M08</v>
      </c>
      <c r="Q59" s="3" t="n">
        <f aca="false">IF(P59="None",0,IFERROR(INDEX(Material_Properties!$D$2:$D$21,MATCH(P59,Material_Properties!$A$2:$A$21,0)),0))</f>
        <v>0.031</v>
      </c>
      <c r="R59" s="3" t="n">
        <f aca="false">INDEX(Shelter_Design!$O$2:$O$41,MATCH($B59,Shelter_Design!$A$2:$A$41,0))</f>
        <v>30</v>
      </c>
      <c r="S59" s="3" t="n">
        <f aca="false">(O59/1000)/N59</f>
        <v>0.328571428571429</v>
      </c>
      <c r="T59" s="3" t="n">
        <f aca="false">IF(OR(P59="None",Q59=0),0,(R59/1000)/Q59)</f>
        <v>0.967741935483871</v>
      </c>
      <c r="U59" s="3" t="n">
        <v>0.17</v>
      </c>
      <c r="V59" s="3" t="n">
        <f aca="false">S59+T59+U59</f>
        <v>1.4663133640553</v>
      </c>
      <c r="W59" s="3" t="n">
        <f aca="false">1/V59</f>
        <v>0.681982463308086</v>
      </c>
      <c r="X59" s="3" t="n">
        <f aca="false">INDEX(Shelter_Design!$R$2:$R$41,MATCH($B59,Shelter_Design!$A$2:$A$41,0))</f>
        <v>51.6</v>
      </c>
      <c r="Y59" s="3" t="n">
        <f aca="false">INDEX(Shelter_Design!$P$2:$P$41,MATCH($B59,Shelter_Design!$A$2:$A$41,0))</f>
        <v>1.6</v>
      </c>
      <c r="Z59" s="3" t="n">
        <f aca="false">INDEX(Shelter_Design!$G$2:$G$41,MATCH($B59,Shelter_Design!$A$2:$A$41,0))</f>
        <v>63</v>
      </c>
      <c r="AA59" s="3" t="n">
        <f aca="false">INDEX(Shelter_Design!$S$2:$S$41,MATCH($B59,Shelter_Design!$A$2:$A$41,0))</f>
        <v>0.0300751879699248</v>
      </c>
      <c r="AB59" s="3" t="n">
        <f aca="false">INDEX(Shelter_Design!$Y$2:$Y$41,MATCH($B59,Shelter_Design!$A$2:$A$41,0))</f>
        <v>5</v>
      </c>
      <c r="AC59" s="3" t="str">
        <f aca="false">INDEX(Shelter_Design!$Z$2:$Z$41,MATCH($B59,Shelter_Design!$A$2:$A$41,0))</f>
        <v>Light</v>
      </c>
      <c r="AD59" s="3" t="n">
        <f aca="false">INDEX(Shelter_Design!$AA$2:$AA$41,MATCH($B59,Shelter_Design!$A$2:$A$41,0))</f>
        <v>0.5</v>
      </c>
      <c r="AE59" s="3" t="s">
        <v>304</v>
      </c>
    </row>
    <row r="60" customFormat="false" ht="15" hidden="false" customHeight="true" outlineLevel="0" collapsed="false">
      <c r="A60" s="3" t="s">
        <v>362</v>
      </c>
      <c r="B60" s="3" t="s">
        <v>246</v>
      </c>
      <c r="C60" s="3" t="s">
        <v>237</v>
      </c>
      <c r="D60" s="3" t="s">
        <v>303</v>
      </c>
      <c r="E60" s="3" t="s">
        <v>60</v>
      </c>
      <c r="F60" s="3" t="s">
        <v>46</v>
      </c>
      <c r="G60" s="3" t="str">
        <f aca="false">E60&amp;"-"&amp;F60</f>
        <v>Jaisalmer-September</v>
      </c>
      <c r="H60" s="3" t="n">
        <f aca="false">INDEX(Weather_Data!$K$2:$K$73,MATCH($G60,Weather_Data!$J$2:$J$73,0))</f>
        <v>32</v>
      </c>
      <c r="I60" s="3" t="n">
        <f aca="false">INDEX(Weather_Data!$L$2:$L$73,MATCH($G60,Weather_Data!$J$2:$J$73,0))</f>
        <v>45</v>
      </c>
      <c r="J60" s="3" t="n">
        <f aca="false">INDEX(Weather_Data!$M$2:$M$73,MATCH($G60,Weather_Data!$J$2:$J$73,0))</f>
        <v>2.5</v>
      </c>
      <c r="K60" s="3" t="n">
        <f aca="false">INDEX(Weather_Data!$P$2:$P$73,MATCH($G60,Weather_Data!$J$2:$J$73,0))</f>
        <v>241.666666666667</v>
      </c>
      <c r="L60" s="3" t="n">
        <f aca="false">INDEX(Weather_Data!$Q$2:$Q$73,MATCH($G60,Weather_Data!$J$2:$J$73,0))</f>
        <v>25</v>
      </c>
      <c r="M60" s="3" t="str">
        <f aca="false">INDEX(Shelter_Design!$I$2:$I$41,MATCH($B60,Shelter_Design!$A$2:$A$41,0))</f>
        <v>M02</v>
      </c>
      <c r="N60" s="3" t="n">
        <f aca="false">IFERROR(INDEX(Material_Properties!$D$2:$D$21,MATCH(M60,Material_Properties!$A$2:$A$21,0)),1)</f>
        <v>0.7</v>
      </c>
      <c r="O60" s="3" t="n">
        <f aca="false">INDEX(Shelter_Design!$M$2:$M$41,MATCH($B60,Shelter_Design!$A$2:$A$41,0))</f>
        <v>230</v>
      </c>
      <c r="P60" s="3" t="str">
        <f aca="false">INDEX(Shelter_Design!$L$2:$L$41,MATCH($B60,Shelter_Design!$A$2:$A$41,0))</f>
        <v>M08</v>
      </c>
      <c r="Q60" s="3" t="n">
        <f aca="false">IF(P60="None",0,IFERROR(INDEX(Material_Properties!$D$2:$D$21,MATCH(P60,Material_Properties!$A$2:$A$21,0)),0))</f>
        <v>0.031</v>
      </c>
      <c r="R60" s="3" t="n">
        <f aca="false">INDEX(Shelter_Design!$O$2:$O$41,MATCH($B60,Shelter_Design!$A$2:$A$41,0))</f>
        <v>30</v>
      </c>
      <c r="S60" s="3" t="n">
        <f aca="false">(O60/1000)/N60</f>
        <v>0.328571428571429</v>
      </c>
      <c r="T60" s="3" t="n">
        <f aca="false">IF(OR(P60="None",Q60=0),0,(R60/1000)/Q60)</f>
        <v>0.967741935483871</v>
      </c>
      <c r="U60" s="3" t="n">
        <v>0.17</v>
      </c>
      <c r="V60" s="3" t="n">
        <f aca="false">S60+T60+U60</f>
        <v>1.4663133640553</v>
      </c>
      <c r="W60" s="3" t="n">
        <f aca="false">1/V60</f>
        <v>0.681982463308086</v>
      </c>
      <c r="X60" s="3" t="n">
        <f aca="false">INDEX(Shelter_Design!$R$2:$R$41,MATCH($B60,Shelter_Design!$A$2:$A$41,0))</f>
        <v>51.6</v>
      </c>
      <c r="Y60" s="3" t="n">
        <f aca="false">INDEX(Shelter_Design!$P$2:$P$41,MATCH($B60,Shelter_Design!$A$2:$A$41,0))</f>
        <v>1.6</v>
      </c>
      <c r="Z60" s="3" t="n">
        <f aca="false">INDEX(Shelter_Design!$G$2:$G$41,MATCH($B60,Shelter_Design!$A$2:$A$41,0))</f>
        <v>63</v>
      </c>
      <c r="AA60" s="3" t="n">
        <f aca="false">INDEX(Shelter_Design!$S$2:$S$41,MATCH($B60,Shelter_Design!$A$2:$A$41,0))</f>
        <v>0.0300751879699248</v>
      </c>
      <c r="AB60" s="3" t="n">
        <f aca="false">INDEX(Shelter_Design!$Y$2:$Y$41,MATCH($B60,Shelter_Design!$A$2:$A$41,0))</f>
        <v>5</v>
      </c>
      <c r="AC60" s="3" t="str">
        <f aca="false">INDEX(Shelter_Design!$Z$2:$Z$41,MATCH($B60,Shelter_Design!$A$2:$A$41,0))</f>
        <v>Light</v>
      </c>
      <c r="AD60" s="3" t="n">
        <f aca="false">INDEX(Shelter_Design!$AA$2:$AA$41,MATCH($B60,Shelter_Design!$A$2:$A$41,0))</f>
        <v>0.5</v>
      </c>
      <c r="AE60" s="3" t="s">
        <v>304</v>
      </c>
    </row>
    <row r="61" customFormat="false" ht="15" hidden="false" customHeight="true" outlineLevel="0" collapsed="false">
      <c r="A61" s="3" t="s">
        <v>363</v>
      </c>
      <c r="B61" s="3" t="s">
        <v>246</v>
      </c>
      <c r="C61" s="3" t="s">
        <v>237</v>
      </c>
      <c r="D61" s="3" t="s">
        <v>303</v>
      </c>
      <c r="E61" s="3" t="s">
        <v>60</v>
      </c>
      <c r="F61" s="3" t="s">
        <v>51</v>
      </c>
      <c r="G61" s="3" t="str">
        <f aca="false">E61&amp;"-"&amp;F61</f>
        <v>Jaisalmer-November</v>
      </c>
      <c r="H61" s="3" t="n">
        <f aca="false">INDEX(Weather_Data!$K$2:$K$73,MATCH($G61,Weather_Data!$J$2:$J$73,0))</f>
        <v>21</v>
      </c>
      <c r="I61" s="3" t="n">
        <f aca="false">INDEX(Weather_Data!$L$2:$L$73,MATCH($G61,Weather_Data!$J$2:$J$73,0))</f>
        <v>30</v>
      </c>
      <c r="J61" s="3" t="n">
        <f aca="false">INDEX(Weather_Data!$M$2:$M$73,MATCH($G61,Weather_Data!$J$2:$J$73,0))</f>
        <v>2</v>
      </c>
      <c r="K61" s="3" t="n">
        <f aca="false">INDEX(Weather_Data!$P$2:$P$73,MATCH($G61,Weather_Data!$J$2:$J$73,0))</f>
        <v>200</v>
      </c>
      <c r="L61" s="3" t="n">
        <f aca="false">INDEX(Weather_Data!$Q$2:$Q$73,MATCH($G61,Weather_Data!$J$2:$J$73,0))</f>
        <v>2</v>
      </c>
      <c r="M61" s="3" t="str">
        <f aca="false">INDEX(Shelter_Design!$I$2:$I$41,MATCH($B61,Shelter_Design!$A$2:$A$41,0))</f>
        <v>M02</v>
      </c>
      <c r="N61" s="3" t="n">
        <f aca="false">IFERROR(INDEX(Material_Properties!$D$2:$D$21,MATCH(M61,Material_Properties!$A$2:$A$21,0)),1)</f>
        <v>0.7</v>
      </c>
      <c r="O61" s="3" t="n">
        <f aca="false">INDEX(Shelter_Design!$M$2:$M$41,MATCH($B61,Shelter_Design!$A$2:$A$41,0))</f>
        <v>230</v>
      </c>
      <c r="P61" s="3" t="str">
        <f aca="false">INDEX(Shelter_Design!$L$2:$L$41,MATCH($B61,Shelter_Design!$A$2:$A$41,0))</f>
        <v>M08</v>
      </c>
      <c r="Q61" s="3" t="n">
        <f aca="false">IF(P61="None",0,IFERROR(INDEX(Material_Properties!$D$2:$D$21,MATCH(P61,Material_Properties!$A$2:$A$21,0)),0))</f>
        <v>0.031</v>
      </c>
      <c r="R61" s="3" t="n">
        <f aca="false">INDEX(Shelter_Design!$O$2:$O$41,MATCH($B61,Shelter_Design!$A$2:$A$41,0))</f>
        <v>30</v>
      </c>
      <c r="S61" s="3" t="n">
        <f aca="false">(O61/1000)/N61</f>
        <v>0.328571428571429</v>
      </c>
      <c r="T61" s="3" t="n">
        <f aca="false">IF(OR(P61="None",Q61=0),0,(R61/1000)/Q61)</f>
        <v>0.967741935483871</v>
      </c>
      <c r="U61" s="3" t="n">
        <v>0.17</v>
      </c>
      <c r="V61" s="3" t="n">
        <f aca="false">S61+T61+U61</f>
        <v>1.4663133640553</v>
      </c>
      <c r="W61" s="3" t="n">
        <f aca="false">1/V61</f>
        <v>0.681982463308086</v>
      </c>
      <c r="X61" s="3" t="n">
        <f aca="false">INDEX(Shelter_Design!$R$2:$R$41,MATCH($B61,Shelter_Design!$A$2:$A$41,0))</f>
        <v>51.6</v>
      </c>
      <c r="Y61" s="3" t="n">
        <f aca="false">INDEX(Shelter_Design!$P$2:$P$41,MATCH($B61,Shelter_Design!$A$2:$A$41,0))</f>
        <v>1.6</v>
      </c>
      <c r="Z61" s="3" t="n">
        <f aca="false">INDEX(Shelter_Design!$G$2:$G$41,MATCH($B61,Shelter_Design!$A$2:$A$41,0))</f>
        <v>63</v>
      </c>
      <c r="AA61" s="3" t="n">
        <f aca="false">INDEX(Shelter_Design!$S$2:$S$41,MATCH($B61,Shelter_Design!$A$2:$A$41,0))</f>
        <v>0.0300751879699248</v>
      </c>
      <c r="AB61" s="3" t="n">
        <f aca="false">INDEX(Shelter_Design!$Y$2:$Y$41,MATCH($B61,Shelter_Design!$A$2:$A$41,0))</f>
        <v>5</v>
      </c>
      <c r="AC61" s="3" t="str">
        <f aca="false">INDEX(Shelter_Design!$Z$2:$Z$41,MATCH($B61,Shelter_Design!$A$2:$A$41,0))</f>
        <v>Light</v>
      </c>
      <c r="AD61" s="3" t="n">
        <f aca="false">INDEX(Shelter_Design!$AA$2:$AA$41,MATCH($B61,Shelter_Design!$A$2:$A$41,0))</f>
        <v>0.5</v>
      </c>
      <c r="AE61" s="3" t="s">
        <v>304</v>
      </c>
    </row>
    <row r="62" customFormat="false" ht="15" hidden="false" customHeight="true" outlineLevel="0" collapsed="false">
      <c r="A62" s="3" t="s">
        <v>364</v>
      </c>
      <c r="B62" s="3" t="s">
        <v>247</v>
      </c>
      <c r="C62" s="3" t="s">
        <v>237</v>
      </c>
      <c r="D62" s="3" t="s">
        <v>303</v>
      </c>
      <c r="E62" s="3" t="s">
        <v>60</v>
      </c>
      <c r="F62" s="3" t="s">
        <v>22</v>
      </c>
      <c r="G62" s="3" t="str">
        <f aca="false">E62&amp;"-"&amp;F62</f>
        <v>Jaisalmer-January</v>
      </c>
      <c r="H62" s="3" t="n">
        <f aca="false">INDEX(Weather_Data!$K$2:$K$73,MATCH($G62,Weather_Data!$J$2:$J$73,0))</f>
        <v>15</v>
      </c>
      <c r="I62" s="3" t="n">
        <f aca="false">INDEX(Weather_Data!$L$2:$L$73,MATCH($G62,Weather_Data!$J$2:$J$73,0))</f>
        <v>35</v>
      </c>
      <c r="J62" s="3" t="n">
        <f aca="false">INDEX(Weather_Data!$M$2:$M$73,MATCH($G62,Weather_Data!$J$2:$J$73,0))</f>
        <v>2</v>
      </c>
      <c r="K62" s="3" t="n">
        <f aca="false">INDEX(Weather_Data!$P$2:$P$73,MATCH($G62,Weather_Data!$J$2:$J$73,0))</f>
        <v>187.5</v>
      </c>
      <c r="L62" s="3" t="n">
        <f aca="false">INDEX(Weather_Data!$Q$2:$Q$73,MATCH($G62,Weather_Data!$J$2:$J$73,0))</f>
        <v>3</v>
      </c>
      <c r="M62" s="3" t="str">
        <f aca="false">INDEX(Shelter_Design!$I$2:$I$41,MATCH($B62,Shelter_Design!$A$2:$A$41,0))</f>
        <v>M14</v>
      </c>
      <c r="N62" s="3" t="n">
        <f aca="false">IFERROR(INDEX(Material_Properties!$D$2:$D$21,MATCH(M62,Material_Properties!$A$2:$A$21,0)),1)</f>
        <v>0.6</v>
      </c>
      <c r="O62" s="3" t="n">
        <f aca="false">INDEX(Shelter_Design!$M$2:$M$41,MATCH($B62,Shelter_Design!$A$2:$A$41,0))</f>
        <v>300</v>
      </c>
      <c r="P62" s="3" t="str">
        <f aca="false">INDEX(Shelter_Design!$L$2:$L$41,MATCH($B62,Shelter_Design!$A$2:$A$41,0))</f>
        <v>None</v>
      </c>
      <c r="Q62" s="3" t="n">
        <f aca="false">IF(P62="None",0,IFERROR(INDEX(Material_Properties!$D$2:$D$21,MATCH(P62,Material_Properties!$A$2:$A$21,0)),0))</f>
        <v>0</v>
      </c>
      <c r="R62" s="3" t="n">
        <f aca="false">INDEX(Shelter_Design!$O$2:$O$41,MATCH($B62,Shelter_Design!$A$2:$A$41,0))</f>
        <v>0</v>
      </c>
      <c r="S62" s="3" t="n">
        <f aca="false">(O62/1000)/N62</f>
        <v>0.5</v>
      </c>
      <c r="T62" s="3" t="n">
        <f aca="false">IF(OR(P62="None",Q62=0),0,(R62/1000)/Q62)</f>
        <v>0</v>
      </c>
      <c r="U62" s="3" t="n">
        <v>0.17</v>
      </c>
      <c r="V62" s="3" t="n">
        <f aca="false">S62+T62+U62</f>
        <v>0.67</v>
      </c>
      <c r="W62" s="3" t="n">
        <f aca="false">1/V62</f>
        <v>1.49253731343284</v>
      </c>
      <c r="X62" s="3" t="n">
        <f aca="false">INDEX(Shelter_Design!$R$2:$R$41,MATCH($B62,Shelter_Design!$A$2:$A$41,0))</f>
        <v>32.8</v>
      </c>
      <c r="Y62" s="3" t="n">
        <f aca="false">INDEX(Shelter_Design!$P$2:$P$41,MATCH($B62,Shelter_Design!$A$2:$A$41,0))</f>
        <v>1</v>
      </c>
      <c r="Z62" s="3" t="n">
        <f aca="false">INDEX(Shelter_Design!$G$2:$G$41,MATCH($B62,Shelter_Design!$A$2:$A$41,0))</f>
        <v>27.3</v>
      </c>
      <c r="AA62" s="3" t="n">
        <f aca="false">INDEX(Shelter_Design!$S$2:$S$41,MATCH($B62,Shelter_Design!$A$2:$A$41,0))</f>
        <v>0.029585798816568</v>
      </c>
      <c r="AB62" s="3" t="n">
        <f aca="false">INDEX(Shelter_Design!$Y$2:$Y$41,MATCH($B62,Shelter_Design!$A$2:$A$41,0))</f>
        <v>2</v>
      </c>
      <c r="AC62" s="3" t="str">
        <f aca="false">INDEX(Shelter_Design!$Z$2:$Z$41,MATCH($B62,Shelter_Design!$A$2:$A$41,0))</f>
        <v>Light</v>
      </c>
      <c r="AD62" s="3" t="n">
        <f aca="false">INDEX(Shelter_Design!$AA$2:$AA$41,MATCH($B62,Shelter_Design!$A$2:$A$41,0))</f>
        <v>0.5</v>
      </c>
      <c r="AE62" s="3" t="s">
        <v>304</v>
      </c>
    </row>
    <row r="63" customFormat="false" ht="15" hidden="false" customHeight="true" outlineLevel="0" collapsed="false">
      <c r="A63" s="3" t="s">
        <v>365</v>
      </c>
      <c r="B63" s="3" t="s">
        <v>247</v>
      </c>
      <c r="C63" s="3" t="s">
        <v>237</v>
      </c>
      <c r="D63" s="3" t="s">
        <v>303</v>
      </c>
      <c r="E63" s="3" t="s">
        <v>60</v>
      </c>
      <c r="F63" s="3" t="s">
        <v>33</v>
      </c>
      <c r="G63" s="3" t="str">
        <f aca="false">E63&amp;"-"&amp;F63</f>
        <v>Jaisalmer-April</v>
      </c>
      <c r="H63" s="3" t="n">
        <f aca="false">INDEX(Weather_Data!$K$2:$K$73,MATCH($G63,Weather_Data!$J$2:$J$73,0))</f>
        <v>32</v>
      </c>
      <c r="I63" s="3" t="n">
        <f aca="false">INDEX(Weather_Data!$L$2:$L$73,MATCH($G63,Weather_Data!$J$2:$J$73,0))</f>
        <v>20</v>
      </c>
      <c r="J63" s="3" t="n">
        <f aca="false">INDEX(Weather_Data!$M$2:$M$73,MATCH($G63,Weather_Data!$J$2:$J$73,0))</f>
        <v>4.5</v>
      </c>
      <c r="K63" s="3" t="n">
        <f aca="false">INDEX(Weather_Data!$P$2:$P$73,MATCH($G63,Weather_Data!$J$2:$J$73,0))</f>
        <v>283.333333333333</v>
      </c>
      <c r="L63" s="3" t="n">
        <f aca="false">INDEX(Weather_Data!$Q$2:$Q$73,MATCH($G63,Weather_Data!$J$2:$J$73,0))</f>
        <v>2</v>
      </c>
      <c r="M63" s="3" t="str">
        <f aca="false">INDEX(Shelter_Design!$I$2:$I$41,MATCH($B63,Shelter_Design!$A$2:$A$41,0))</f>
        <v>M14</v>
      </c>
      <c r="N63" s="3" t="n">
        <f aca="false">IFERROR(INDEX(Material_Properties!$D$2:$D$21,MATCH(M63,Material_Properties!$A$2:$A$21,0)),1)</f>
        <v>0.6</v>
      </c>
      <c r="O63" s="3" t="n">
        <f aca="false">INDEX(Shelter_Design!$M$2:$M$41,MATCH($B63,Shelter_Design!$A$2:$A$41,0))</f>
        <v>300</v>
      </c>
      <c r="P63" s="3" t="str">
        <f aca="false">INDEX(Shelter_Design!$L$2:$L$41,MATCH($B63,Shelter_Design!$A$2:$A$41,0))</f>
        <v>None</v>
      </c>
      <c r="Q63" s="3" t="n">
        <f aca="false">IF(P63="None",0,IFERROR(INDEX(Material_Properties!$D$2:$D$21,MATCH(P63,Material_Properties!$A$2:$A$21,0)),0))</f>
        <v>0</v>
      </c>
      <c r="R63" s="3" t="n">
        <f aca="false">INDEX(Shelter_Design!$O$2:$O$41,MATCH($B63,Shelter_Design!$A$2:$A$41,0))</f>
        <v>0</v>
      </c>
      <c r="S63" s="3" t="n">
        <f aca="false">(O63/1000)/N63</f>
        <v>0.5</v>
      </c>
      <c r="T63" s="3" t="n">
        <f aca="false">IF(OR(P63="None",Q63=0),0,(R63/1000)/Q63)</f>
        <v>0</v>
      </c>
      <c r="U63" s="3" t="n">
        <v>0.17</v>
      </c>
      <c r="V63" s="3" t="n">
        <f aca="false">S63+T63+U63</f>
        <v>0.67</v>
      </c>
      <c r="W63" s="3" t="n">
        <f aca="false">1/V63</f>
        <v>1.49253731343284</v>
      </c>
      <c r="X63" s="3" t="n">
        <f aca="false">INDEX(Shelter_Design!$R$2:$R$41,MATCH($B63,Shelter_Design!$A$2:$A$41,0))</f>
        <v>32.8</v>
      </c>
      <c r="Y63" s="3" t="n">
        <f aca="false">INDEX(Shelter_Design!$P$2:$P$41,MATCH($B63,Shelter_Design!$A$2:$A$41,0))</f>
        <v>1</v>
      </c>
      <c r="Z63" s="3" t="n">
        <f aca="false">INDEX(Shelter_Design!$G$2:$G$41,MATCH($B63,Shelter_Design!$A$2:$A$41,0))</f>
        <v>27.3</v>
      </c>
      <c r="AA63" s="3" t="n">
        <f aca="false">INDEX(Shelter_Design!$S$2:$S$41,MATCH($B63,Shelter_Design!$A$2:$A$41,0))</f>
        <v>0.029585798816568</v>
      </c>
      <c r="AB63" s="3" t="n">
        <f aca="false">INDEX(Shelter_Design!$Y$2:$Y$41,MATCH($B63,Shelter_Design!$A$2:$A$41,0))</f>
        <v>2</v>
      </c>
      <c r="AC63" s="3" t="str">
        <f aca="false">INDEX(Shelter_Design!$Z$2:$Z$41,MATCH($B63,Shelter_Design!$A$2:$A$41,0))</f>
        <v>Light</v>
      </c>
      <c r="AD63" s="3" t="n">
        <f aca="false">INDEX(Shelter_Design!$AA$2:$AA$41,MATCH($B63,Shelter_Design!$A$2:$A$41,0))</f>
        <v>0.5</v>
      </c>
      <c r="AE63" s="3" t="s">
        <v>304</v>
      </c>
    </row>
    <row r="64" customFormat="false" ht="15" hidden="false" customHeight="true" outlineLevel="0" collapsed="false">
      <c r="A64" s="3" t="s">
        <v>366</v>
      </c>
      <c r="B64" s="3" t="s">
        <v>247</v>
      </c>
      <c r="C64" s="3" t="s">
        <v>237</v>
      </c>
      <c r="D64" s="3" t="s">
        <v>303</v>
      </c>
      <c r="E64" s="3" t="s">
        <v>60</v>
      </c>
      <c r="F64" s="3" t="s">
        <v>42</v>
      </c>
      <c r="G64" s="3" t="str">
        <f aca="false">E64&amp;"-"&amp;F64</f>
        <v>Jaisalmer-July</v>
      </c>
      <c r="H64" s="3" t="n">
        <f aca="false">INDEX(Weather_Data!$K$2:$K$73,MATCH($G64,Weather_Data!$J$2:$J$73,0))</f>
        <v>34</v>
      </c>
      <c r="I64" s="3" t="n">
        <f aca="false">INDEX(Weather_Data!$L$2:$L$73,MATCH($G64,Weather_Data!$J$2:$J$73,0))</f>
        <v>50</v>
      </c>
      <c r="J64" s="3" t="n">
        <f aca="false">INDEX(Weather_Data!$M$2:$M$73,MATCH($G64,Weather_Data!$J$2:$J$73,0))</f>
        <v>3.5</v>
      </c>
      <c r="K64" s="3" t="n">
        <f aca="false">INDEX(Weather_Data!$P$2:$P$73,MATCH($G64,Weather_Data!$J$2:$J$73,0))</f>
        <v>229.166666666667</v>
      </c>
      <c r="L64" s="3" t="n">
        <f aca="false">INDEX(Weather_Data!$Q$2:$Q$73,MATCH($G64,Weather_Data!$J$2:$J$73,0))</f>
        <v>60</v>
      </c>
      <c r="M64" s="3" t="str">
        <f aca="false">INDEX(Shelter_Design!$I$2:$I$41,MATCH($B64,Shelter_Design!$A$2:$A$41,0))</f>
        <v>M14</v>
      </c>
      <c r="N64" s="3" t="n">
        <f aca="false">IFERROR(INDEX(Material_Properties!$D$2:$D$21,MATCH(M64,Material_Properties!$A$2:$A$21,0)),1)</f>
        <v>0.6</v>
      </c>
      <c r="O64" s="3" t="n">
        <f aca="false">INDEX(Shelter_Design!$M$2:$M$41,MATCH($B64,Shelter_Design!$A$2:$A$41,0))</f>
        <v>300</v>
      </c>
      <c r="P64" s="3" t="str">
        <f aca="false">INDEX(Shelter_Design!$L$2:$L$41,MATCH($B64,Shelter_Design!$A$2:$A$41,0))</f>
        <v>None</v>
      </c>
      <c r="Q64" s="3" t="n">
        <f aca="false">IF(P64="None",0,IFERROR(INDEX(Material_Properties!$D$2:$D$21,MATCH(P64,Material_Properties!$A$2:$A$21,0)),0))</f>
        <v>0</v>
      </c>
      <c r="R64" s="3" t="n">
        <f aca="false">INDEX(Shelter_Design!$O$2:$O$41,MATCH($B64,Shelter_Design!$A$2:$A$41,0))</f>
        <v>0</v>
      </c>
      <c r="S64" s="3" t="n">
        <f aca="false">(O64/1000)/N64</f>
        <v>0.5</v>
      </c>
      <c r="T64" s="3" t="n">
        <f aca="false">IF(OR(P64="None",Q64=0),0,(R64/1000)/Q64)</f>
        <v>0</v>
      </c>
      <c r="U64" s="3" t="n">
        <v>0.17</v>
      </c>
      <c r="V64" s="3" t="n">
        <f aca="false">S64+T64+U64</f>
        <v>0.67</v>
      </c>
      <c r="W64" s="3" t="n">
        <f aca="false">1/V64</f>
        <v>1.49253731343284</v>
      </c>
      <c r="X64" s="3" t="n">
        <f aca="false">INDEX(Shelter_Design!$R$2:$R$41,MATCH($B64,Shelter_Design!$A$2:$A$41,0))</f>
        <v>32.8</v>
      </c>
      <c r="Y64" s="3" t="n">
        <f aca="false">INDEX(Shelter_Design!$P$2:$P$41,MATCH($B64,Shelter_Design!$A$2:$A$41,0))</f>
        <v>1</v>
      </c>
      <c r="Z64" s="3" t="n">
        <f aca="false">INDEX(Shelter_Design!$G$2:$G$41,MATCH($B64,Shelter_Design!$A$2:$A$41,0))</f>
        <v>27.3</v>
      </c>
      <c r="AA64" s="3" t="n">
        <f aca="false">INDEX(Shelter_Design!$S$2:$S$41,MATCH($B64,Shelter_Design!$A$2:$A$41,0))</f>
        <v>0.029585798816568</v>
      </c>
      <c r="AB64" s="3" t="n">
        <f aca="false">INDEX(Shelter_Design!$Y$2:$Y$41,MATCH($B64,Shelter_Design!$A$2:$A$41,0))</f>
        <v>2</v>
      </c>
      <c r="AC64" s="3" t="str">
        <f aca="false">INDEX(Shelter_Design!$Z$2:$Z$41,MATCH($B64,Shelter_Design!$A$2:$A$41,0))</f>
        <v>Light</v>
      </c>
      <c r="AD64" s="3" t="n">
        <f aca="false">INDEX(Shelter_Design!$AA$2:$AA$41,MATCH($B64,Shelter_Design!$A$2:$A$41,0))</f>
        <v>0.5</v>
      </c>
      <c r="AE64" s="3" t="s">
        <v>304</v>
      </c>
    </row>
    <row r="65" customFormat="false" ht="15" hidden="false" customHeight="true" outlineLevel="0" collapsed="false">
      <c r="A65" s="3" t="s">
        <v>367</v>
      </c>
      <c r="B65" s="3" t="s">
        <v>247</v>
      </c>
      <c r="C65" s="3" t="s">
        <v>237</v>
      </c>
      <c r="D65" s="3" t="s">
        <v>303</v>
      </c>
      <c r="E65" s="3" t="s">
        <v>60</v>
      </c>
      <c r="F65" s="3" t="s">
        <v>46</v>
      </c>
      <c r="G65" s="3" t="str">
        <f aca="false">E65&amp;"-"&amp;F65</f>
        <v>Jaisalmer-September</v>
      </c>
      <c r="H65" s="3" t="n">
        <f aca="false">INDEX(Weather_Data!$K$2:$K$73,MATCH($G65,Weather_Data!$J$2:$J$73,0))</f>
        <v>32</v>
      </c>
      <c r="I65" s="3" t="n">
        <f aca="false">INDEX(Weather_Data!$L$2:$L$73,MATCH($G65,Weather_Data!$J$2:$J$73,0))</f>
        <v>45</v>
      </c>
      <c r="J65" s="3" t="n">
        <f aca="false">INDEX(Weather_Data!$M$2:$M$73,MATCH($G65,Weather_Data!$J$2:$J$73,0))</f>
        <v>2.5</v>
      </c>
      <c r="K65" s="3" t="n">
        <f aca="false">INDEX(Weather_Data!$P$2:$P$73,MATCH($G65,Weather_Data!$J$2:$J$73,0))</f>
        <v>241.666666666667</v>
      </c>
      <c r="L65" s="3" t="n">
        <f aca="false">INDEX(Weather_Data!$Q$2:$Q$73,MATCH($G65,Weather_Data!$J$2:$J$73,0))</f>
        <v>25</v>
      </c>
      <c r="M65" s="3" t="str">
        <f aca="false">INDEX(Shelter_Design!$I$2:$I$41,MATCH($B65,Shelter_Design!$A$2:$A$41,0))</f>
        <v>M14</v>
      </c>
      <c r="N65" s="3" t="n">
        <f aca="false">IFERROR(INDEX(Material_Properties!$D$2:$D$21,MATCH(M65,Material_Properties!$A$2:$A$21,0)),1)</f>
        <v>0.6</v>
      </c>
      <c r="O65" s="3" t="n">
        <f aca="false">INDEX(Shelter_Design!$M$2:$M$41,MATCH($B65,Shelter_Design!$A$2:$A$41,0))</f>
        <v>300</v>
      </c>
      <c r="P65" s="3" t="str">
        <f aca="false">INDEX(Shelter_Design!$L$2:$L$41,MATCH($B65,Shelter_Design!$A$2:$A$41,0))</f>
        <v>None</v>
      </c>
      <c r="Q65" s="3" t="n">
        <f aca="false">IF(P65="None",0,IFERROR(INDEX(Material_Properties!$D$2:$D$21,MATCH(P65,Material_Properties!$A$2:$A$21,0)),0))</f>
        <v>0</v>
      </c>
      <c r="R65" s="3" t="n">
        <f aca="false">INDEX(Shelter_Design!$O$2:$O$41,MATCH($B65,Shelter_Design!$A$2:$A$41,0))</f>
        <v>0</v>
      </c>
      <c r="S65" s="3" t="n">
        <f aca="false">(O65/1000)/N65</f>
        <v>0.5</v>
      </c>
      <c r="T65" s="3" t="n">
        <f aca="false">IF(OR(P65="None",Q65=0),0,(R65/1000)/Q65)</f>
        <v>0</v>
      </c>
      <c r="U65" s="3" t="n">
        <v>0.17</v>
      </c>
      <c r="V65" s="3" t="n">
        <f aca="false">S65+T65+U65</f>
        <v>0.67</v>
      </c>
      <c r="W65" s="3" t="n">
        <f aca="false">1/V65</f>
        <v>1.49253731343284</v>
      </c>
      <c r="X65" s="3" t="n">
        <f aca="false">INDEX(Shelter_Design!$R$2:$R$41,MATCH($B65,Shelter_Design!$A$2:$A$41,0))</f>
        <v>32.8</v>
      </c>
      <c r="Y65" s="3" t="n">
        <f aca="false">INDEX(Shelter_Design!$P$2:$P$41,MATCH($B65,Shelter_Design!$A$2:$A$41,0))</f>
        <v>1</v>
      </c>
      <c r="Z65" s="3" t="n">
        <f aca="false">INDEX(Shelter_Design!$G$2:$G$41,MATCH($B65,Shelter_Design!$A$2:$A$41,0))</f>
        <v>27.3</v>
      </c>
      <c r="AA65" s="3" t="n">
        <f aca="false">INDEX(Shelter_Design!$S$2:$S$41,MATCH($B65,Shelter_Design!$A$2:$A$41,0))</f>
        <v>0.029585798816568</v>
      </c>
      <c r="AB65" s="3" t="n">
        <f aca="false">INDEX(Shelter_Design!$Y$2:$Y$41,MATCH($B65,Shelter_Design!$A$2:$A$41,0))</f>
        <v>2</v>
      </c>
      <c r="AC65" s="3" t="str">
        <f aca="false">INDEX(Shelter_Design!$Z$2:$Z$41,MATCH($B65,Shelter_Design!$A$2:$A$41,0))</f>
        <v>Light</v>
      </c>
      <c r="AD65" s="3" t="n">
        <f aca="false">INDEX(Shelter_Design!$AA$2:$AA$41,MATCH($B65,Shelter_Design!$A$2:$A$41,0))</f>
        <v>0.5</v>
      </c>
      <c r="AE65" s="3" t="s">
        <v>304</v>
      </c>
    </row>
    <row r="66" customFormat="false" ht="15" hidden="false" customHeight="true" outlineLevel="0" collapsed="false">
      <c r="A66" s="3" t="s">
        <v>368</v>
      </c>
      <c r="B66" s="3" t="s">
        <v>247</v>
      </c>
      <c r="C66" s="3" t="s">
        <v>237</v>
      </c>
      <c r="D66" s="3" t="s">
        <v>303</v>
      </c>
      <c r="E66" s="3" t="s">
        <v>60</v>
      </c>
      <c r="F66" s="3" t="s">
        <v>51</v>
      </c>
      <c r="G66" s="3" t="str">
        <f aca="false">E66&amp;"-"&amp;F66</f>
        <v>Jaisalmer-November</v>
      </c>
      <c r="H66" s="3" t="n">
        <f aca="false">INDEX(Weather_Data!$K$2:$K$73,MATCH($G66,Weather_Data!$J$2:$J$73,0))</f>
        <v>21</v>
      </c>
      <c r="I66" s="3" t="n">
        <f aca="false">INDEX(Weather_Data!$L$2:$L$73,MATCH($G66,Weather_Data!$J$2:$J$73,0))</f>
        <v>30</v>
      </c>
      <c r="J66" s="3" t="n">
        <f aca="false">INDEX(Weather_Data!$M$2:$M$73,MATCH($G66,Weather_Data!$J$2:$J$73,0))</f>
        <v>2</v>
      </c>
      <c r="K66" s="3" t="n">
        <f aca="false">INDEX(Weather_Data!$P$2:$P$73,MATCH($G66,Weather_Data!$J$2:$J$73,0))</f>
        <v>200</v>
      </c>
      <c r="L66" s="3" t="n">
        <f aca="false">INDEX(Weather_Data!$Q$2:$Q$73,MATCH($G66,Weather_Data!$J$2:$J$73,0))</f>
        <v>2</v>
      </c>
      <c r="M66" s="3" t="str">
        <f aca="false">INDEX(Shelter_Design!$I$2:$I$41,MATCH($B66,Shelter_Design!$A$2:$A$41,0))</f>
        <v>M14</v>
      </c>
      <c r="N66" s="3" t="n">
        <f aca="false">IFERROR(INDEX(Material_Properties!$D$2:$D$21,MATCH(M66,Material_Properties!$A$2:$A$21,0)),1)</f>
        <v>0.6</v>
      </c>
      <c r="O66" s="3" t="n">
        <f aca="false">INDEX(Shelter_Design!$M$2:$M$41,MATCH($B66,Shelter_Design!$A$2:$A$41,0))</f>
        <v>300</v>
      </c>
      <c r="P66" s="3" t="str">
        <f aca="false">INDEX(Shelter_Design!$L$2:$L$41,MATCH($B66,Shelter_Design!$A$2:$A$41,0))</f>
        <v>None</v>
      </c>
      <c r="Q66" s="3" t="n">
        <f aca="false">IF(P66="None",0,IFERROR(INDEX(Material_Properties!$D$2:$D$21,MATCH(P66,Material_Properties!$A$2:$A$21,0)),0))</f>
        <v>0</v>
      </c>
      <c r="R66" s="3" t="n">
        <f aca="false">INDEX(Shelter_Design!$O$2:$O$41,MATCH($B66,Shelter_Design!$A$2:$A$41,0))</f>
        <v>0</v>
      </c>
      <c r="S66" s="3" t="n">
        <f aca="false">(O66/1000)/N66</f>
        <v>0.5</v>
      </c>
      <c r="T66" s="3" t="n">
        <f aca="false">IF(OR(P66="None",Q66=0),0,(R66/1000)/Q66)</f>
        <v>0</v>
      </c>
      <c r="U66" s="3" t="n">
        <v>0.17</v>
      </c>
      <c r="V66" s="3" t="n">
        <f aca="false">S66+T66+U66</f>
        <v>0.67</v>
      </c>
      <c r="W66" s="3" t="n">
        <f aca="false">1/V66</f>
        <v>1.49253731343284</v>
      </c>
      <c r="X66" s="3" t="n">
        <f aca="false">INDEX(Shelter_Design!$R$2:$R$41,MATCH($B66,Shelter_Design!$A$2:$A$41,0))</f>
        <v>32.8</v>
      </c>
      <c r="Y66" s="3" t="n">
        <f aca="false">INDEX(Shelter_Design!$P$2:$P$41,MATCH($B66,Shelter_Design!$A$2:$A$41,0))</f>
        <v>1</v>
      </c>
      <c r="Z66" s="3" t="n">
        <f aca="false">INDEX(Shelter_Design!$G$2:$G$41,MATCH($B66,Shelter_Design!$A$2:$A$41,0))</f>
        <v>27.3</v>
      </c>
      <c r="AA66" s="3" t="n">
        <f aca="false">INDEX(Shelter_Design!$S$2:$S$41,MATCH($B66,Shelter_Design!$A$2:$A$41,0))</f>
        <v>0.029585798816568</v>
      </c>
      <c r="AB66" s="3" t="n">
        <f aca="false">INDEX(Shelter_Design!$Y$2:$Y$41,MATCH($B66,Shelter_Design!$A$2:$A$41,0))</f>
        <v>2</v>
      </c>
      <c r="AC66" s="3" t="str">
        <f aca="false">INDEX(Shelter_Design!$Z$2:$Z$41,MATCH($B66,Shelter_Design!$A$2:$A$41,0))</f>
        <v>Light</v>
      </c>
      <c r="AD66" s="3" t="n">
        <f aca="false">INDEX(Shelter_Design!$AA$2:$AA$41,MATCH($B66,Shelter_Design!$A$2:$A$41,0))</f>
        <v>0.5</v>
      </c>
      <c r="AE66" s="3" t="s">
        <v>304</v>
      </c>
    </row>
    <row r="67" customFormat="false" ht="15" hidden="false" customHeight="true" outlineLevel="0" collapsed="false">
      <c r="A67" s="3" t="s">
        <v>369</v>
      </c>
      <c r="B67" s="3" t="s">
        <v>248</v>
      </c>
      <c r="C67" s="3" t="s">
        <v>237</v>
      </c>
      <c r="D67" s="3" t="s">
        <v>303</v>
      </c>
      <c r="E67" s="3" t="s">
        <v>60</v>
      </c>
      <c r="F67" s="3" t="s">
        <v>22</v>
      </c>
      <c r="G67" s="3" t="str">
        <f aca="false">E67&amp;"-"&amp;F67</f>
        <v>Jaisalmer-January</v>
      </c>
      <c r="H67" s="3" t="n">
        <f aca="false">INDEX(Weather_Data!$K$2:$K$73,MATCH($G67,Weather_Data!$J$2:$J$73,0))</f>
        <v>15</v>
      </c>
      <c r="I67" s="3" t="n">
        <f aca="false">INDEX(Weather_Data!$L$2:$L$73,MATCH($G67,Weather_Data!$J$2:$J$73,0))</f>
        <v>35</v>
      </c>
      <c r="J67" s="3" t="n">
        <f aca="false">INDEX(Weather_Data!$M$2:$M$73,MATCH($G67,Weather_Data!$J$2:$J$73,0))</f>
        <v>2</v>
      </c>
      <c r="K67" s="3" t="n">
        <f aca="false">INDEX(Weather_Data!$P$2:$P$73,MATCH($G67,Weather_Data!$J$2:$J$73,0))</f>
        <v>187.5</v>
      </c>
      <c r="L67" s="3" t="n">
        <f aca="false">INDEX(Weather_Data!$Q$2:$Q$73,MATCH($G67,Weather_Data!$J$2:$J$73,0))</f>
        <v>3</v>
      </c>
      <c r="M67" s="3" t="str">
        <f aca="false">INDEX(Shelter_Design!$I$2:$I$41,MATCH($B67,Shelter_Design!$A$2:$A$41,0))</f>
        <v>M14</v>
      </c>
      <c r="N67" s="3" t="n">
        <f aca="false">IFERROR(INDEX(Material_Properties!$D$2:$D$21,MATCH(M67,Material_Properties!$A$2:$A$21,0)),1)</f>
        <v>0.6</v>
      </c>
      <c r="O67" s="3" t="n">
        <f aca="false">INDEX(Shelter_Design!$M$2:$M$41,MATCH($B67,Shelter_Design!$A$2:$A$41,0))</f>
        <v>300</v>
      </c>
      <c r="P67" s="3" t="str">
        <f aca="false">INDEX(Shelter_Design!$L$2:$L$41,MATCH($B67,Shelter_Design!$A$2:$A$41,0))</f>
        <v>None</v>
      </c>
      <c r="Q67" s="3" t="n">
        <f aca="false">IF(P67="None",0,IFERROR(INDEX(Material_Properties!$D$2:$D$21,MATCH(P67,Material_Properties!$A$2:$A$21,0)),0))</f>
        <v>0</v>
      </c>
      <c r="R67" s="3" t="n">
        <f aca="false">INDEX(Shelter_Design!$O$2:$O$41,MATCH($B67,Shelter_Design!$A$2:$A$41,0))</f>
        <v>0</v>
      </c>
      <c r="S67" s="3" t="n">
        <f aca="false">(O67/1000)/N67</f>
        <v>0.5</v>
      </c>
      <c r="T67" s="3" t="n">
        <f aca="false">IF(OR(P67="None",Q67=0),0,(R67/1000)/Q67)</f>
        <v>0</v>
      </c>
      <c r="U67" s="3" t="n">
        <v>0.17</v>
      </c>
      <c r="V67" s="3" t="n">
        <f aca="false">S67+T67+U67</f>
        <v>0.67</v>
      </c>
      <c r="W67" s="3" t="n">
        <f aca="false">1/V67</f>
        <v>1.49253731343284</v>
      </c>
      <c r="X67" s="3" t="n">
        <f aca="false">INDEX(Shelter_Design!$R$2:$R$41,MATCH($B67,Shelter_Design!$A$2:$A$41,0))</f>
        <v>51.6</v>
      </c>
      <c r="Y67" s="3" t="n">
        <f aca="false">INDEX(Shelter_Design!$P$2:$P$41,MATCH($B67,Shelter_Design!$A$2:$A$41,0))</f>
        <v>1.6</v>
      </c>
      <c r="Z67" s="3" t="n">
        <f aca="false">INDEX(Shelter_Design!$G$2:$G$41,MATCH($B67,Shelter_Design!$A$2:$A$41,0))</f>
        <v>63</v>
      </c>
      <c r="AA67" s="3" t="n">
        <f aca="false">INDEX(Shelter_Design!$S$2:$S$41,MATCH($B67,Shelter_Design!$A$2:$A$41,0))</f>
        <v>0.0300751879699248</v>
      </c>
      <c r="AB67" s="3" t="n">
        <f aca="false">INDEX(Shelter_Design!$Y$2:$Y$41,MATCH($B67,Shelter_Design!$A$2:$A$41,0))</f>
        <v>5</v>
      </c>
      <c r="AC67" s="3" t="str">
        <f aca="false">INDEX(Shelter_Design!$Z$2:$Z$41,MATCH($B67,Shelter_Design!$A$2:$A$41,0))</f>
        <v>Light</v>
      </c>
      <c r="AD67" s="3" t="n">
        <f aca="false">INDEX(Shelter_Design!$AA$2:$AA$41,MATCH($B67,Shelter_Design!$A$2:$A$41,0))</f>
        <v>0.5</v>
      </c>
      <c r="AE67" s="3" t="s">
        <v>304</v>
      </c>
    </row>
    <row r="68" customFormat="false" ht="15" hidden="false" customHeight="true" outlineLevel="0" collapsed="false">
      <c r="A68" s="3" t="s">
        <v>370</v>
      </c>
      <c r="B68" s="3" t="s">
        <v>248</v>
      </c>
      <c r="C68" s="3" t="s">
        <v>237</v>
      </c>
      <c r="D68" s="3" t="s">
        <v>303</v>
      </c>
      <c r="E68" s="3" t="s">
        <v>60</v>
      </c>
      <c r="F68" s="3" t="s">
        <v>33</v>
      </c>
      <c r="G68" s="3" t="str">
        <f aca="false">E68&amp;"-"&amp;F68</f>
        <v>Jaisalmer-April</v>
      </c>
      <c r="H68" s="3" t="n">
        <f aca="false">INDEX(Weather_Data!$K$2:$K$73,MATCH($G68,Weather_Data!$J$2:$J$73,0))</f>
        <v>32</v>
      </c>
      <c r="I68" s="3" t="n">
        <f aca="false">INDEX(Weather_Data!$L$2:$L$73,MATCH($G68,Weather_Data!$J$2:$J$73,0))</f>
        <v>20</v>
      </c>
      <c r="J68" s="3" t="n">
        <f aca="false">INDEX(Weather_Data!$M$2:$M$73,MATCH($G68,Weather_Data!$J$2:$J$73,0))</f>
        <v>4.5</v>
      </c>
      <c r="K68" s="3" t="n">
        <f aca="false">INDEX(Weather_Data!$P$2:$P$73,MATCH($G68,Weather_Data!$J$2:$J$73,0))</f>
        <v>283.333333333333</v>
      </c>
      <c r="L68" s="3" t="n">
        <f aca="false">INDEX(Weather_Data!$Q$2:$Q$73,MATCH($G68,Weather_Data!$J$2:$J$73,0))</f>
        <v>2</v>
      </c>
      <c r="M68" s="3" t="str">
        <f aca="false">INDEX(Shelter_Design!$I$2:$I$41,MATCH($B68,Shelter_Design!$A$2:$A$41,0))</f>
        <v>M14</v>
      </c>
      <c r="N68" s="3" t="n">
        <f aca="false">IFERROR(INDEX(Material_Properties!$D$2:$D$21,MATCH(M68,Material_Properties!$A$2:$A$21,0)),1)</f>
        <v>0.6</v>
      </c>
      <c r="O68" s="3" t="n">
        <f aca="false">INDEX(Shelter_Design!$M$2:$M$41,MATCH($B68,Shelter_Design!$A$2:$A$41,0))</f>
        <v>300</v>
      </c>
      <c r="P68" s="3" t="str">
        <f aca="false">INDEX(Shelter_Design!$L$2:$L$41,MATCH($B68,Shelter_Design!$A$2:$A$41,0))</f>
        <v>None</v>
      </c>
      <c r="Q68" s="3" t="n">
        <f aca="false">IF(P68="None",0,IFERROR(INDEX(Material_Properties!$D$2:$D$21,MATCH(P68,Material_Properties!$A$2:$A$21,0)),0))</f>
        <v>0</v>
      </c>
      <c r="R68" s="3" t="n">
        <f aca="false">INDEX(Shelter_Design!$O$2:$O$41,MATCH($B68,Shelter_Design!$A$2:$A$41,0))</f>
        <v>0</v>
      </c>
      <c r="S68" s="3" t="n">
        <f aca="false">(O68/1000)/N68</f>
        <v>0.5</v>
      </c>
      <c r="T68" s="3" t="n">
        <f aca="false">IF(OR(P68="None",Q68=0),0,(R68/1000)/Q68)</f>
        <v>0</v>
      </c>
      <c r="U68" s="3" t="n">
        <v>0.17</v>
      </c>
      <c r="V68" s="3" t="n">
        <f aca="false">S68+T68+U68</f>
        <v>0.67</v>
      </c>
      <c r="W68" s="3" t="n">
        <f aca="false">1/V68</f>
        <v>1.49253731343284</v>
      </c>
      <c r="X68" s="3" t="n">
        <f aca="false">INDEX(Shelter_Design!$R$2:$R$41,MATCH($B68,Shelter_Design!$A$2:$A$41,0))</f>
        <v>51.6</v>
      </c>
      <c r="Y68" s="3" t="n">
        <f aca="false">INDEX(Shelter_Design!$P$2:$P$41,MATCH($B68,Shelter_Design!$A$2:$A$41,0))</f>
        <v>1.6</v>
      </c>
      <c r="Z68" s="3" t="n">
        <f aca="false">INDEX(Shelter_Design!$G$2:$G$41,MATCH($B68,Shelter_Design!$A$2:$A$41,0))</f>
        <v>63</v>
      </c>
      <c r="AA68" s="3" t="n">
        <f aca="false">INDEX(Shelter_Design!$S$2:$S$41,MATCH($B68,Shelter_Design!$A$2:$A$41,0))</f>
        <v>0.0300751879699248</v>
      </c>
      <c r="AB68" s="3" t="n">
        <f aca="false">INDEX(Shelter_Design!$Y$2:$Y$41,MATCH($B68,Shelter_Design!$A$2:$A$41,0))</f>
        <v>5</v>
      </c>
      <c r="AC68" s="3" t="str">
        <f aca="false">INDEX(Shelter_Design!$Z$2:$Z$41,MATCH($B68,Shelter_Design!$A$2:$A$41,0))</f>
        <v>Light</v>
      </c>
      <c r="AD68" s="3" t="n">
        <f aca="false">INDEX(Shelter_Design!$AA$2:$AA$41,MATCH($B68,Shelter_Design!$A$2:$A$41,0))</f>
        <v>0.5</v>
      </c>
      <c r="AE68" s="3" t="s">
        <v>304</v>
      </c>
    </row>
    <row r="69" customFormat="false" ht="15" hidden="false" customHeight="true" outlineLevel="0" collapsed="false">
      <c r="A69" s="3" t="s">
        <v>371</v>
      </c>
      <c r="B69" s="3" t="s">
        <v>248</v>
      </c>
      <c r="C69" s="3" t="s">
        <v>237</v>
      </c>
      <c r="D69" s="3" t="s">
        <v>303</v>
      </c>
      <c r="E69" s="3" t="s">
        <v>60</v>
      </c>
      <c r="F69" s="3" t="s">
        <v>42</v>
      </c>
      <c r="G69" s="3" t="str">
        <f aca="false">E69&amp;"-"&amp;F69</f>
        <v>Jaisalmer-July</v>
      </c>
      <c r="H69" s="3" t="n">
        <f aca="false">INDEX(Weather_Data!$K$2:$K$73,MATCH($G69,Weather_Data!$J$2:$J$73,0))</f>
        <v>34</v>
      </c>
      <c r="I69" s="3" t="n">
        <f aca="false">INDEX(Weather_Data!$L$2:$L$73,MATCH($G69,Weather_Data!$J$2:$J$73,0))</f>
        <v>50</v>
      </c>
      <c r="J69" s="3" t="n">
        <f aca="false">INDEX(Weather_Data!$M$2:$M$73,MATCH($G69,Weather_Data!$J$2:$J$73,0))</f>
        <v>3.5</v>
      </c>
      <c r="K69" s="3" t="n">
        <f aca="false">INDEX(Weather_Data!$P$2:$P$73,MATCH($G69,Weather_Data!$J$2:$J$73,0))</f>
        <v>229.166666666667</v>
      </c>
      <c r="L69" s="3" t="n">
        <f aca="false">INDEX(Weather_Data!$Q$2:$Q$73,MATCH($G69,Weather_Data!$J$2:$J$73,0))</f>
        <v>60</v>
      </c>
      <c r="M69" s="3" t="str">
        <f aca="false">INDEX(Shelter_Design!$I$2:$I$41,MATCH($B69,Shelter_Design!$A$2:$A$41,0))</f>
        <v>M14</v>
      </c>
      <c r="N69" s="3" t="n">
        <f aca="false">IFERROR(INDEX(Material_Properties!$D$2:$D$21,MATCH(M69,Material_Properties!$A$2:$A$21,0)),1)</f>
        <v>0.6</v>
      </c>
      <c r="O69" s="3" t="n">
        <f aca="false">INDEX(Shelter_Design!$M$2:$M$41,MATCH($B69,Shelter_Design!$A$2:$A$41,0))</f>
        <v>300</v>
      </c>
      <c r="P69" s="3" t="str">
        <f aca="false">INDEX(Shelter_Design!$L$2:$L$41,MATCH($B69,Shelter_Design!$A$2:$A$41,0))</f>
        <v>None</v>
      </c>
      <c r="Q69" s="3" t="n">
        <f aca="false">IF(P69="None",0,IFERROR(INDEX(Material_Properties!$D$2:$D$21,MATCH(P69,Material_Properties!$A$2:$A$21,0)),0))</f>
        <v>0</v>
      </c>
      <c r="R69" s="3" t="n">
        <f aca="false">INDEX(Shelter_Design!$O$2:$O$41,MATCH($B69,Shelter_Design!$A$2:$A$41,0))</f>
        <v>0</v>
      </c>
      <c r="S69" s="3" t="n">
        <f aca="false">(O69/1000)/N69</f>
        <v>0.5</v>
      </c>
      <c r="T69" s="3" t="n">
        <f aca="false">IF(OR(P69="None",Q69=0),0,(R69/1000)/Q69)</f>
        <v>0</v>
      </c>
      <c r="U69" s="3" t="n">
        <v>0.17</v>
      </c>
      <c r="V69" s="3" t="n">
        <f aca="false">S69+T69+U69</f>
        <v>0.67</v>
      </c>
      <c r="W69" s="3" t="n">
        <f aca="false">1/V69</f>
        <v>1.49253731343284</v>
      </c>
      <c r="X69" s="3" t="n">
        <f aca="false">INDEX(Shelter_Design!$R$2:$R$41,MATCH($B69,Shelter_Design!$A$2:$A$41,0))</f>
        <v>51.6</v>
      </c>
      <c r="Y69" s="3" t="n">
        <f aca="false">INDEX(Shelter_Design!$P$2:$P$41,MATCH($B69,Shelter_Design!$A$2:$A$41,0))</f>
        <v>1.6</v>
      </c>
      <c r="Z69" s="3" t="n">
        <f aca="false">INDEX(Shelter_Design!$G$2:$G$41,MATCH($B69,Shelter_Design!$A$2:$A$41,0))</f>
        <v>63</v>
      </c>
      <c r="AA69" s="3" t="n">
        <f aca="false">INDEX(Shelter_Design!$S$2:$S$41,MATCH($B69,Shelter_Design!$A$2:$A$41,0))</f>
        <v>0.0300751879699248</v>
      </c>
      <c r="AB69" s="3" t="n">
        <f aca="false">INDEX(Shelter_Design!$Y$2:$Y$41,MATCH($B69,Shelter_Design!$A$2:$A$41,0))</f>
        <v>5</v>
      </c>
      <c r="AC69" s="3" t="str">
        <f aca="false">INDEX(Shelter_Design!$Z$2:$Z$41,MATCH($B69,Shelter_Design!$A$2:$A$41,0))</f>
        <v>Light</v>
      </c>
      <c r="AD69" s="3" t="n">
        <f aca="false">INDEX(Shelter_Design!$AA$2:$AA$41,MATCH($B69,Shelter_Design!$A$2:$A$41,0))</f>
        <v>0.5</v>
      </c>
      <c r="AE69" s="3" t="s">
        <v>304</v>
      </c>
    </row>
    <row r="70" customFormat="false" ht="15" hidden="false" customHeight="true" outlineLevel="0" collapsed="false">
      <c r="A70" s="3" t="s">
        <v>372</v>
      </c>
      <c r="B70" s="3" t="s">
        <v>248</v>
      </c>
      <c r="C70" s="3" t="s">
        <v>237</v>
      </c>
      <c r="D70" s="3" t="s">
        <v>303</v>
      </c>
      <c r="E70" s="3" t="s">
        <v>60</v>
      </c>
      <c r="F70" s="3" t="s">
        <v>46</v>
      </c>
      <c r="G70" s="3" t="str">
        <f aca="false">E70&amp;"-"&amp;F70</f>
        <v>Jaisalmer-September</v>
      </c>
      <c r="H70" s="3" t="n">
        <f aca="false">INDEX(Weather_Data!$K$2:$K$73,MATCH($G70,Weather_Data!$J$2:$J$73,0))</f>
        <v>32</v>
      </c>
      <c r="I70" s="3" t="n">
        <f aca="false">INDEX(Weather_Data!$L$2:$L$73,MATCH($G70,Weather_Data!$J$2:$J$73,0))</f>
        <v>45</v>
      </c>
      <c r="J70" s="3" t="n">
        <f aca="false">INDEX(Weather_Data!$M$2:$M$73,MATCH($G70,Weather_Data!$J$2:$J$73,0))</f>
        <v>2.5</v>
      </c>
      <c r="K70" s="3" t="n">
        <f aca="false">INDEX(Weather_Data!$P$2:$P$73,MATCH($G70,Weather_Data!$J$2:$J$73,0))</f>
        <v>241.666666666667</v>
      </c>
      <c r="L70" s="3" t="n">
        <f aca="false">INDEX(Weather_Data!$Q$2:$Q$73,MATCH($G70,Weather_Data!$J$2:$J$73,0))</f>
        <v>25</v>
      </c>
      <c r="M70" s="3" t="str">
        <f aca="false">INDEX(Shelter_Design!$I$2:$I$41,MATCH($B70,Shelter_Design!$A$2:$A$41,0))</f>
        <v>M14</v>
      </c>
      <c r="N70" s="3" t="n">
        <f aca="false">IFERROR(INDEX(Material_Properties!$D$2:$D$21,MATCH(M70,Material_Properties!$A$2:$A$21,0)),1)</f>
        <v>0.6</v>
      </c>
      <c r="O70" s="3" t="n">
        <f aca="false">INDEX(Shelter_Design!$M$2:$M$41,MATCH($B70,Shelter_Design!$A$2:$A$41,0))</f>
        <v>300</v>
      </c>
      <c r="P70" s="3" t="str">
        <f aca="false">INDEX(Shelter_Design!$L$2:$L$41,MATCH($B70,Shelter_Design!$A$2:$A$41,0))</f>
        <v>None</v>
      </c>
      <c r="Q70" s="3" t="n">
        <f aca="false">IF(P70="None",0,IFERROR(INDEX(Material_Properties!$D$2:$D$21,MATCH(P70,Material_Properties!$A$2:$A$21,0)),0))</f>
        <v>0</v>
      </c>
      <c r="R70" s="3" t="n">
        <f aca="false">INDEX(Shelter_Design!$O$2:$O$41,MATCH($B70,Shelter_Design!$A$2:$A$41,0))</f>
        <v>0</v>
      </c>
      <c r="S70" s="3" t="n">
        <f aca="false">(O70/1000)/N70</f>
        <v>0.5</v>
      </c>
      <c r="T70" s="3" t="n">
        <f aca="false">IF(OR(P70="None",Q70=0),0,(R70/1000)/Q70)</f>
        <v>0</v>
      </c>
      <c r="U70" s="3" t="n">
        <v>0.17</v>
      </c>
      <c r="V70" s="3" t="n">
        <f aca="false">S70+T70+U70</f>
        <v>0.67</v>
      </c>
      <c r="W70" s="3" t="n">
        <f aca="false">1/V70</f>
        <v>1.49253731343284</v>
      </c>
      <c r="X70" s="3" t="n">
        <f aca="false">INDEX(Shelter_Design!$R$2:$R$41,MATCH($B70,Shelter_Design!$A$2:$A$41,0))</f>
        <v>51.6</v>
      </c>
      <c r="Y70" s="3" t="n">
        <f aca="false">INDEX(Shelter_Design!$P$2:$P$41,MATCH($B70,Shelter_Design!$A$2:$A$41,0))</f>
        <v>1.6</v>
      </c>
      <c r="Z70" s="3" t="n">
        <f aca="false">INDEX(Shelter_Design!$G$2:$G$41,MATCH($B70,Shelter_Design!$A$2:$A$41,0))</f>
        <v>63</v>
      </c>
      <c r="AA70" s="3" t="n">
        <f aca="false">INDEX(Shelter_Design!$S$2:$S$41,MATCH($B70,Shelter_Design!$A$2:$A$41,0))</f>
        <v>0.0300751879699248</v>
      </c>
      <c r="AB70" s="3" t="n">
        <f aca="false">INDEX(Shelter_Design!$Y$2:$Y$41,MATCH($B70,Shelter_Design!$A$2:$A$41,0))</f>
        <v>5</v>
      </c>
      <c r="AC70" s="3" t="str">
        <f aca="false">INDEX(Shelter_Design!$Z$2:$Z$41,MATCH($B70,Shelter_Design!$A$2:$A$41,0))</f>
        <v>Light</v>
      </c>
      <c r="AD70" s="3" t="n">
        <f aca="false">INDEX(Shelter_Design!$AA$2:$AA$41,MATCH($B70,Shelter_Design!$A$2:$A$41,0))</f>
        <v>0.5</v>
      </c>
      <c r="AE70" s="3" t="s">
        <v>304</v>
      </c>
    </row>
    <row r="71" customFormat="false" ht="15" hidden="false" customHeight="true" outlineLevel="0" collapsed="false">
      <c r="A71" s="3" t="s">
        <v>373</v>
      </c>
      <c r="B71" s="3" t="s">
        <v>248</v>
      </c>
      <c r="C71" s="3" t="s">
        <v>237</v>
      </c>
      <c r="D71" s="3" t="s">
        <v>303</v>
      </c>
      <c r="E71" s="3" t="s">
        <v>60</v>
      </c>
      <c r="F71" s="3" t="s">
        <v>51</v>
      </c>
      <c r="G71" s="3" t="str">
        <f aca="false">E71&amp;"-"&amp;F71</f>
        <v>Jaisalmer-November</v>
      </c>
      <c r="H71" s="3" t="n">
        <f aca="false">INDEX(Weather_Data!$K$2:$K$73,MATCH($G71,Weather_Data!$J$2:$J$73,0))</f>
        <v>21</v>
      </c>
      <c r="I71" s="3" t="n">
        <f aca="false">INDEX(Weather_Data!$L$2:$L$73,MATCH($G71,Weather_Data!$J$2:$J$73,0))</f>
        <v>30</v>
      </c>
      <c r="J71" s="3" t="n">
        <f aca="false">INDEX(Weather_Data!$M$2:$M$73,MATCH($G71,Weather_Data!$J$2:$J$73,0))</f>
        <v>2</v>
      </c>
      <c r="K71" s="3" t="n">
        <f aca="false">INDEX(Weather_Data!$P$2:$P$73,MATCH($G71,Weather_Data!$J$2:$J$73,0))</f>
        <v>200</v>
      </c>
      <c r="L71" s="3" t="n">
        <f aca="false">INDEX(Weather_Data!$Q$2:$Q$73,MATCH($G71,Weather_Data!$J$2:$J$73,0))</f>
        <v>2</v>
      </c>
      <c r="M71" s="3" t="str">
        <f aca="false">INDEX(Shelter_Design!$I$2:$I$41,MATCH($B71,Shelter_Design!$A$2:$A$41,0))</f>
        <v>M14</v>
      </c>
      <c r="N71" s="3" t="n">
        <f aca="false">IFERROR(INDEX(Material_Properties!$D$2:$D$21,MATCH(M71,Material_Properties!$A$2:$A$21,0)),1)</f>
        <v>0.6</v>
      </c>
      <c r="O71" s="3" t="n">
        <f aca="false">INDEX(Shelter_Design!$M$2:$M$41,MATCH($B71,Shelter_Design!$A$2:$A$41,0))</f>
        <v>300</v>
      </c>
      <c r="P71" s="3" t="str">
        <f aca="false">INDEX(Shelter_Design!$L$2:$L$41,MATCH($B71,Shelter_Design!$A$2:$A$41,0))</f>
        <v>None</v>
      </c>
      <c r="Q71" s="3" t="n">
        <f aca="false">IF(P71="None",0,IFERROR(INDEX(Material_Properties!$D$2:$D$21,MATCH(P71,Material_Properties!$A$2:$A$21,0)),0))</f>
        <v>0</v>
      </c>
      <c r="R71" s="3" t="n">
        <f aca="false">INDEX(Shelter_Design!$O$2:$O$41,MATCH($B71,Shelter_Design!$A$2:$A$41,0))</f>
        <v>0</v>
      </c>
      <c r="S71" s="3" t="n">
        <f aca="false">(O71/1000)/N71</f>
        <v>0.5</v>
      </c>
      <c r="T71" s="3" t="n">
        <f aca="false">IF(OR(P71="None",Q71=0),0,(R71/1000)/Q71)</f>
        <v>0</v>
      </c>
      <c r="U71" s="3" t="n">
        <v>0.17</v>
      </c>
      <c r="V71" s="3" t="n">
        <f aca="false">S71+T71+U71</f>
        <v>0.67</v>
      </c>
      <c r="W71" s="3" t="n">
        <f aca="false">1/V71</f>
        <v>1.49253731343284</v>
      </c>
      <c r="X71" s="3" t="n">
        <f aca="false">INDEX(Shelter_Design!$R$2:$R$41,MATCH($B71,Shelter_Design!$A$2:$A$41,0))</f>
        <v>51.6</v>
      </c>
      <c r="Y71" s="3" t="n">
        <f aca="false">INDEX(Shelter_Design!$P$2:$P$41,MATCH($B71,Shelter_Design!$A$2:$A$41,0))</f>
        <v>1.6</v>
      </c>
      <c r="Z71" s="3" t="n">
        <f aca="false">INDEX(Shelter_Design!$G$2:$G$41,MATCH($B71,Shelter_Design!$A$2:$A$41,0))</f>
        <v>63</v>
      </c>
      <c r="AA71" s="3" t="n">
        <f aca="false">INDEX(Shelter_Design!$S$2:$S$41,MATCH($B71,Shelter_Design!$A$2:$A$41,0))</f>
        <v>0.0300751879699248</v>
      </c>
      <c r="AB71" s="3" t="n">
        <f aca="false">INDEX(Shelter_Design!$Y$2:$Y$41,MATCH($B71,Shelter_Design!$A$2:$A$41,0))</f>
        <v>5</v>
      </c>
      <c r="AC71" s="3" t="str">
        <f aca="false">INDEX(Shelter_Design!$Z$2:$Z$41,MATCH($B71,Shelter_Design!$A$2:$A$41,0))</f>
        <v>Light</v>
      </c>
      <c r="AD71" s="3" t="n">
        <f aca="false">INDEX(Shelter_Design!$AA$2:$AA$41,MATCH($B71,Shelter_Design!$A$2:$A$41,0))</f>
        <v>0.5</v>
      </c>
      <c r="AE71" s="3" t="s">
        <v>304</v>
      </c>
    </row>
    <row r="72" customFormat="false" ht="15" hidden="false" customHeight="true" outlineLevel="0" collapsed="false">
      <c r="A72" s="3" t="s">
        <v>374</v>
      </c>
      <c r="B72" s="3" t="s">
        <v>249</v>
      </c>
      <c r="C72" s="3" t="s">
        <v>237</v>
      </c>
      <c r="D72" s="3" t="s">
        <v>303</v>
      </c>
      <c r="E72" s="3" t="s">
        <v>60</v>
      </c>
      <c r="F72" s="3" t="s">
        <v>22</v>
      </c>
      <c r="G72" s="3" t="str">
        <f aca="false">E72&amp;"-"&amp;F72</f>
        <v>Jaisalmer-January</v>
      </c>
      <c r="H72" s="3" t="n">
        <f aca="false">INDEX(Weather_Data!$K$2:$K$73,MATCH($G72,Weather_Data!$J$2:$J$73,0))</f>
        <v>15</v>
      </c>
      <c r="I72" s="3" t="n">
        <f aca="false">INDEX(Weather_Data!$L$2:$L$73,MATCH($G72,Weather_Data!$J$2:$J$73,0))</f>
        <v>35</v>
      </c>
      <c r="J72" s="3" t="n">
        <f aca="false">INDEX(Weather_Data!$M$2:$M$73,MATCH($G72,Weather_Data!$J$2:$J$73,0))</f>
        <v>2</v>
      </c>
      <c r="K72" s="3" t="n">
        <f aca="false">INDEX(Weather_Data!$P$2:$P$73,MATCH($G72,Weather_Data!$J$2:$J$73,0))</f>
        <v>187.5</v>
      </c>
      <c r="L72" s="3" t="n">
        <f aca="false">INDEX(Weather_Data!$Q$2:$Q$73,MATCH($G72,Weather_Data!$J$2:$J$73,0))</f>
        <v>3</v>
      </c>
      <c r="M72" s="3" t="str">
        <f aca="false">INDEX(Shelter_Design!$I$2:$I$41,MATCH($B72,Shelter_Design!$A$2:$A$41,0))</f>
        <v>M14</v>
      </c>
      <c r="N72" s="3" t="n">
        <f aca="false">IFERROR(INDEX(Material_Properties!$D$2:$D$21,MATCH(M72,Material_Properties!$A$2:$A$21,0)),1)</f>
        <v>0.6</v>
      </c>
      <c r="O72" s="3" t="n">
        <f aca="false">INDEX(Shelter_Design!$M$2:$M$41,MATCH($B72,Shelter_Design!$A$2:$A$41,0))</f>
        <v>300</v>
      </c>
      <c r="P72" s="3" t="str">
        <f aca="false">INDEX(Shelter_Design!$L$2:$L$41,MATCH($B72,Shelter_Design!$A$2:$A$41,0))</f>
        <v>M08</v>
      </c>
      <c r="Q72" s="3" t="n">
        <f aca="false">IF(P72="None",0,IFERROR(INDEX(Material_Properties!$D$2:$D$21,MATCH(P72,Material_Properties!$A$2:$A$21,0)),0))</f>
        <v>0.031</v>
      </c>
      <c r="R72" s="3" t="n">
        <f aca="false">INDEX(Shelter_Design!$O$2:$O$41,MATCH($B72,Shelter_Design!$A$2:$A$41,0))</f>
        <v>30</v>
      </c>
      <c r="S72" s="3" t="n">
        <f aca="false">(O72/1000)/N72</f>
        <v>0.5</v>
      </c>
      <c r="T72" s="3" t="n">
        <f aca="false">IF(OR(P72="None",Q72=0),0,(R72/1000)/Q72)</f>
        <v>0.967741935483871</v>
      </c>
      <c r="U72" s="3" t="n">
        <v>0.17</v>
      </c>
      <c r="V72" s="3" t="n">
        <f aca="false">S72+T72+U72</f>
        <v>1.63774193548387</v>
      </c>
      <c r="W72" s="3" t="n">
        <f aca="false">1/V72</f>
        <v>0.610596809139256</v>
      </c>
      <c r="X72" s="3" t="n">
        <f aca="false">INDEX(Shelter_Design!$R$2:$R$41,MATCH($B72,Shelter_Design!$A$2:$A$41,0))</f>
        <v>32.8</v>
      </c>
      <c r="Y72" s="3" t="n">
        <f aca="false">INDEX(Shelter_Design!$P$2:$P$41,MATCH($B72,Shelter_Design!$A$2:$A$41,0))</f>
        <v>1</v>
      </c>
      <c r="Z72" s="3" t="n">
        <f aca="false">INDEX(Shelter_Design!$G$2:$G$41,MATCH($B72,Shelter_Design!$A$2:$A$41,0))</f>
        <v>27.3</v>
      </c>
      <c r="AA72" s="3" t="n">
        <f aca="false">INDEX(Shelter_Design!$S$2:$S$41,MATCH($B72,Shelter_Design!$A$2:$A$41,0))</f>
        <v>0.029585798816568</v>
      </c>
      <c r="AB72" s="3" t="n">
        <f aca="false">INDEX(Shelter_Design!$Y$2:$Y$41,MATCH($B72,Shelter_Design!$A$2:$A$41,0))</f>
        <v>2</v>
      </c>
      <c r="AC72" s="3" t="str">
        <f aca="false">INDEX(Shelter_Design!$Z$2:$Z$41,MATCH($B72,Shelter_Design!$A$2:$A$41,0))</f>
        <v>Light</v>
      </c>
      <c r="AD72" s="3" t="n">
        <f aca="false">INDEX(Shelter_Design!$AA$2:$AA$41,MATCH($B72,Shelter_Design!$A$2:$A$41,0))</f>
        <v>0.5</v>
      </c>
      <c r="AE72" s="3" t="s">
        <v>304</v>
      </c>
    </row>
    <row r="73" customFormat="false" ht="15" hidden="false" customHeight="true" outlineLevel="0" collapsed="false">
      <c r="A73" s="3" t="s">
        <v>375</v>
      </c>
      <c r="B73" s="3" t="s">
        <v>249</v>
      </c>
      <c r="C73" s="3" t="s">
        <v>237</v>
      </c>
      <c r="D73" s="3" t="s">
        <v>303</v>
      </c>
      <c r="E73" s="3" t="s">
        <v>60</v>
      </c>
      <c r="F73" s="3" t="s">
        <v>33</v>
      </c>
      <c r="G73" s="3" t="str">
        <f aca="false">E73&amp;"-"&amp;F73</f>
        <v>Jaisalmer-April</v>
      </c>
      <c r="H73" s="3" t="n">
        <f aca="false">INDEX(Weather_Data!$K$2:$K$73,MATCH($G73,Weather_Data!$J$2:$J$73,0))</f>
        <v>32</v>
      </c>
      <c r="I73" s="3" t="n">
        <f aca="false">INDEX(Weather_Data!$L$2:$L$73,MATCH($G73,Weather_Data!$J$2:$J$73,0))</f>
        <v>20</v>
      </c>
      <c r="J73" s="3" t="n">
        <f aca="false">INDEX(Weather_Data!$M$2:$M$73,MATCH($G73,Weather_Data!$J$2:$J$73,0))</f>
        <v>4.5</v>
      </c>
      <c r="K73" s="3" t="n">
        <f aca="false">INDEX(Weather_Data!$P$2:$P$73,MATCH($G73,Weather_Data!$J$2:$J$73,0))</f>
        <v>283.333333333333</v>
      </c>
      <c r="L73" s="3" t="n">
        <f aca="false">INDEX(Weather_Data!$Q$2:$Q$73,MATCH($G73,Weather_Data!$J$2:$J$73,0))</f>
        <v>2</v>
      </c>
      <c r="M73" s="3" t="str">
        <f aca="false">INDEX(Shelter_Design!$I$2:$I$41,MATCH($B73,Shelter_Design!$A$2:$A$41,0))</f>
        <v>M14</v>
      </c>
      <c r="N73" s="3" t="n">
        <f aca="false">IFERROR(INDEX(Material_Properties!$D$2:$D$21,MATCH(M73,Material_Properties!$A$2:$A$21,0)),1)</f>
        <v>0.6</v>
      </c>
      <c r="O73" s="3" t="n">
        <f aca="false">INDEX(Shelter_Design!$M$2:$M$41,MATCH($B73,Shelter_Design!$A$2:$A$41,0))</f>
        <v>300</v>
      </c>
      <c r="P73" s="3" t="str">
        <f aca="false">INDEX(Shelter_Design!$L$2:$L$41,MATCH($B73,Shelter_Design!$A$2:$A$41,0))</f>
        <v>M08</v>
      </c>
      <c r="Q73" s="3" t="n">
        <f aca="false">IF(P73="None",0,IFERROR(INDEX(Material_Properties!$D$2:$D$21,MATCH(P73,Material_Properties!$A$2:$A$21,0)),0))</f>
        <v>0.031</v>
      </c>
      <c r="R73" s="3" t="n">
        <f aca="false">INDEX(Shelter_Design!$O$2:$O$41,MATCH($B73,Shelter_Design!$A$2:$A$41,0))</f>
        <v>30</v>
      </c>
      <c r="S73" s="3" t="n">
        <f aca="false">(O73/1000)/N73</f>
        <v>0.5</v>
      </c>
      <c r="T73" s="3" t="n">
        <f aca="false">IF(OR(P73="None",Q73=0),0,(R73/1000)/Q73)</f>
        <v>0.967741935483871</v>
      </c>
      <c r="U73" s="3" t="n">
        <v>0.17</v>
      </c>
      <c r="V73" s="3" t="n">
        <f aca="false">S73+T73+U73</f>
        <v>1.63774193548387</v>
      </c>
      <c r="W73" s="3" t="n">
        <f aca="false">1/V73</f>
        <v>0.610596809139256</v>
      </c>
      <c r="X73" s="3" t="n">
        <f aca="false">INDEX(Shelter_Design!$R$2:$R$41,MATCH($B73,Shelter_Design!$A$2:$A$41,0))</f>
        <v>32.8</v>
      </c>
      <c r="Y73" s="3" t="n">
        <f aca="false">INDEX(Shelter_Design!$P$2:$P$41,MATCH($B73,Shelter_Design!$A$2:$A$41,0))</f>
        <v>1</v>
      </c>
      <c r="Z73" s="3" t="n">
        <f aca="false">INDEX(Shelter_Design!$G$2:$G$41,MATCH($B73,Shelter_Design!$A$2:$A$41,0))</f>
        <v>27.3</v>
      </c>
      <c r="AA73" s="3" t="n">
        <f aca="false">INDEX(Shelter_Design!$S$2:$S$41,MATCH($B73,Shelter_Design!$A$2:$A$41,0))</f>
        <v>0.029585798816568</v>
      </c>
      <c r="AB73" s="3" t="n">
        <f aca="false">INDEX(Shelter_Design!$Y$2:$Y$41,MATCH($B73,Shelter_Design!$A$2:$A$41,0))</f>
        <v>2</v>
      </c>
      <c r="AC73" s="3" t="str">
        <f aca="false">INDEX(Shelter_Design!$Z$2:$Z$41,MATCH($B73,Shelter_Design!$A$2:$A$41,0))</f>
        <v>Light</v>
      </c>
      <c r="AD73" s="3" t="n">
        <f aca="false">INDEX(Shelter_Design!$AA$2:$AA$41,MATCH($B73,Shelter_Design!$A$2:$A$41,0))</f>
        <v>0.5</v>
      </c>
      <c r="AE73" s="3" t="s">
        <v>304</v>
      </c>
    </row>
    <row r="74" customFormat="false" ht="15" hidden="false" customHeight="true" outlineLevel="0" collapsed="false">
      <c r="A74" s="3" t="s">
        <v>376</v>
      </c>
      <c r="B74" s="3" t="s">
        <v>249</v>
      </c>
      <c r="C74" s="3" t="s">
        <v>237</v>
      </c>
      <c r="D74" s="3" t="s">
        <v>303</v>
      </c>
      <c r="E74" s="3" t="s">
        <v>60</v>
      </c>
      <c r="F74" s="3" t="s">
        <v>42</v>
      </c>
      <c r="G74" s="3" t="str">
        <f aca="false">E74&amp;"-"&amp;F74</f>
        <v>Jaisalmer-July</v>
      </c>
      <c r="H74" s="3" t="n">
        <f aca="false">INDEX(Weather_Data!$K$2:$K$73,MATCH($G74,Weather_Data!$J$2:$J$73,0))</f>
        <v>34</v>
      </c>
      <c r="I74" s="3" t="n">
        <f aca="false">INDEX(Weather_Data!$L$2:$L$73,MATCH($G74,Weather_Data!$J$2:$J$73,0))</f>
        <v>50</v>
      </c>
      <c r="J74" s="3" t="n">
        <f aca="false">INDEX(Weather_Data!$M$2:$M$73,MATCH($G74,Weather_Data!$J$2:$J$73,0))</f>
        <v>3.5</v>
      </c>
      <c r="K74" s="3" t="n">
        <f aca="false">INDEX(Weather_Data!$P$2:$P$73,MATCH($G74,Weather_Data!$J$2:$J$73,0))</f>
        <v>229.166666666667</v>
      </c>
      <c r="L74" s="3" t="n">
        <f aca="false">INDEX(Weather_Data!$Q$2:$Q$73,MATCH($G74,Weather_Data!$J$2:$J$73,0))</f>
        <v>60</v>
      </c>
      <c r="M74" s="3" t="str">
        <f aca="false">INDEX(Shelter_Design!$I$2:$I$41,MATCH($B74,Shelter_Design!$A$2:$A$41,0))</f>
        <v>M14</v>
      </c>
      <c r="N74" s="3" t="n">
        <f aca="false">IFERROR(INDEX(Material_Properties!$D$2:$D$21,MATCH(M74,Material_Properties!$A$2:$A$21,0)),1)</f>
        <v>0.6</v>
      </c>
      <c r="O74" s="3" t="n">
        <f aca="false">INDEX(Shelter_Design!$M$2:$M$41,MATCH($B74,Shelter_Design!$A$2:$A$41,0))</f>
        <v>300</v>
      </c>
      <c r="P74" s="3" t="str">
        <f aca="false">INDEX(Shelter_Design!$L$2:$L$41,MATCH($B74,Shelter_Design!$A$2:$A$41,0))</f>
        <v>M08</v>
      </c>
      <c r="Q74" s="3" t="n">
        <f aca="false">IF(P74="None",0,IFERROR(INDEX(Material_Properties!$D$2:$D$21,MATCH(P74,Material_Properties!$A$2:$A$21,0)),0))</f>
        <v>0.031</v>
      </c>
      <c r="R74" s="3" t="n">
        <f aca="false">INDEX(Shelter_Design!$O$2:$O$41,MATCH($B74,Shelter_Design!$A$2:$A$41,0))</f>
        <v>30</v>
      </c>
      <c r="S74" s="3" t="n">
        <f aca="false">(O74/1000)/N74</f>
        <v>0.5</v>
      </c>
      <c r="T74" s="3" t="n">
        <f aca="false">IF(OR(P74="None",Q74=0),0,(R74/1000)/Q74)</f>
        <v>0.967741935483871</v>
      </c>
      <c r="U74" s="3" t="n">
        <v>0.17</v>
      </c>
      <c r="V74" s="3" t="n">
        <f aca="false">S74+T74+U74</f>
        <v>1.63774193548387</v>
      </c>
      <c r="W74" s="3" t="n">
        <f aca="false">1/V74</f>
        <v>0.610596809139256</v>
      </c>
      <c r="X74" s="3" t="n">
        <f aca="false">INDEX(Shelter_Design!$R$2:$R$41,MATCH($B74,Shelter_Design!$A$2:$A$41,0))</f>
        <v>32.8</v>
      </c>
      <c r="Y74" s="3" t="n">
        <f aca="false">INDEX(Shelter_Design!$P$2:$P$41,MATCH($B74,Shelter_Design!$A$2:$A$41,0))</f>
        <v>1</v>
      </c>
      <c r="Z74" s="3" t="n">
        <f aca="false">INDEX(Shelter_Design!$G$2:$G$41,MATCH($B74,Shelter_Design!$A$2:$A$41,0))</f>
        <v>27.3</v>
      </c>
      <c r="AA74" s="3" t="n">
        <f aca="false">INDEX(Shelter_Design!$S$2:$S$41,MATCH($B74,Shelter_Design!$A$2:$A$41,0))</f>
        <v>0.029585798816568</v>
      </c>
      <c r="AB74" s="3" t="n">
        <f aca="false">INDEX(Shelter_Design!$Y$2:$Y$41,MATCH($B74,Shelter_Design!$A$2:$A$41,0))</f>
        <v>2</v>
      </c>
      <c r="AC74" s="3" t="str">
        <f aca="false">INDEX(Shelter_Design!$Z$2:$Z$41,MATCH($B74,Shelter_Design!$A$2:$A$41,0))</f>
        <v>Light</v>
      </c>
      <c r="AD74" s="3" t="n">
        <f aca="false">INDEX(Shelter_Design!$AA$2:$AA$41,MATCH($B74,Shelter_Design!$A$2:$A$41,0))</f>
        <v>0.5</v>
      </c>
      <c r="AE74" s="3" t="s">
        <v>304</v>
      </c>
    </row>
    <row r="75" customFormat="false" ht="15" hidden="false" customHeight="true" outlineLevel="0" collapsed="false">
      <c r="A75" s="3" t="s">
        <v>377</v>
      </c>
      <c r="B75" s="3" t="s">
        <v>249</v>
      </c>
      <c r="C75" s="3" t="s">
        <v>237</v>
      </c>
      <c r="D75" s="3" t="s">
        <v>303</v>
      </c>
      <c r="E75" s="3" t="s">
        <v>60</v>
      </c>
      <c r="F75" s="3" t="s">
        <v>46</v>
      </c>
      <c r="G75" s="3" t="str">
        <f aca="false">E75&amp;"-"&amp;F75</f>
        <v>Jaisalmer-September</v>
      </c>
      <c r="H75" s="3" t="n">
        <f aca="false">INDEX(Weather_Data!$K$2:$K$73,MATCH($G75,Weather_Data!$J$2:$J$73,0))</f>
        <v>32</v>
      </c>
      <c r="I75" s="3" t="n">
        <f aca="false">INDEX(Weather_Data!$L$2:$L$73,MATCH($G75,Weather_Data!$J$2:$J$73,0))</f>
        <v>45</v>
      </c>
      <c r="J75" s="3" t="n">
        <f aca="false">INDEX(Weather_Data!$M$2:$M$73,MATCH($G75,Weather_Data!$J$2:$J$73,0))</f>
        <v>2.5</v>
      </c>
      <c r="K75" s="3" t="n">
        <f aca="false">INDEX(Weather_Data!$P$2:$P$73,MATCH($G75,Weather_Data!$J$2:$J$73,0))</f>
        <v>241.666666666667</v>
      </c>
      <c r="L75" s="3" t="n">
        <f aca="false">INDEX(Weather_Data!$Q$2:$Q$73,MATCH($G75,Weather_Data!$J$2:$J$73,0))</f>
        <v>25</v>
      </c>
      <c r="M75" s="3" t="str">
        <f aca="false">INDEX(Shelter_Design!$I$2:$I$41,MATCH($B75,Shelter_Design!$A$2:$A$41,0))</f>
        <v>M14</v>
      </c>
      <c r="N75" s="3" t="n">
        <f aca="false">IFERROR(INDEX(Material_Properties!$D$2:$D$21,MATCH(M75,Material_Properties!$A$2:$A$21,0)),1)</f>
        <v>0.6</v>
      </c>
      <c r="O75" s="3" t="n">
        <f aca="false">INDEX(Shelter_Design!$M$2:$M$41,MATCH($B75,Shelter_Design!$A$2:$A$41,0))</f>
        <v>300</v>
      </c>
      <c r="P75" s="3" t="str">
        <f aca="false">INDEX(Shelter_Design!$L$2:$L$41,MATCH($B75,Shelter_Design!$A$2:$A$41,0))</f>
        <v>M08</v>
      </c>
      <c r="Q75" s="3" t="n">
        <f aca="false">IF(P75="None",0,IFERROR(INDEX(Material_Properties!$D$2:$D$21,MATCH(P75,Material_Properties!$A$2:$A$21,0)),0))</f>
        <v>0.031</v>
      </c>
      <c r="R75" s="3" t="n">
        <f aca="false">INDEX(Shelter_Design!$O$2:$O$41,MATCH($B75,Shelter_Design!$A$2:$A$41,0))</f>
        <v>30</v>
      </c>
      <c r="S75" s="3" t="n">
        <f aca="false">(O75/1000)/N75</f>
        <v>0.5</v>
      </c>
      <c r="T75" s="3" t="n">
        <f aca="false">IF(OR(P75="None",Q75=0),0,(R75/1000)/Q75)</f>
        <v>0.967741935483871</v>
      </c>
      <c r="U75" s="3" t="n">
        <v>0.17</v>
      </c>
      <c r="V75" s="3" t="n">
        <f aca="false">S75+T75+U75</f>
        <v>1.63774193548387</v>
      </c>
      <c r="W75" s="3" t="n">
        <f aca="false">1/V75</f>
        <v>0.610596809139256</v>
      </c>
      <c r="X75" s="3" t="n">
        <f aca="false">INDEX(Shelter_Design!$R$2:$R$41,MATCH($B75,Shelter_Design!$A$2:$A$41,0))</f>
        <v>32.8</v>
      </c>
      <c r="Y75" s="3" t="n">
        <f aca="false">INDEX(Shelter_Design!$P$2:$P$41,MATCH($B75,Shelter_Design!$A$2:$A$41,0))</f>
        <v>1</v>
      </c>
      <c r="Z75" s="3" t="n">
        <f aca="false">INDEX(Shelter_Design!$G$2:$G$41,MATCH($B75,Shelter_Design!$A$2:$A$41,0))</f>
        <v>27.3</v>
      </c>
      <c r="AA75" s="3" t="n">
        <f aca="false">INDEX(Shelter_Design!$S$2:$S$41,MATCH($B75,Shelter_Design!$A$2:$A$41,0))</f>
        <v>0.029585798816568</v>
      </c>
      <c r="AB75" s="3" t="n">
        <f aca="false">INDEX(Shelter_Design!$Y$2:$Y$41,MATCH($B75,Shelter_Design!$A$2:$A$41,0))</f>
        <v>2</v>
      </c>
      <c r="AC75" s="3" t="str">
        <f aca="false">INDEX(Shelter_Design!$Z$2:$Z$41,MATCH($B75,Shelter_Design!$A$2:$A$41,0))</f>
        <v>Light</v>
      </c>
      <c r="AD75" s="3" t="n">
        <f aca="false">INDEX(Shelter_Design!$AA$2:$AA$41,MATCH($B75,Shelter_Design!$A$2:$A$41,0))</f>
        <v>0.5</v>
      </c>
      <c r="AE75" s="3" t="s">
        <v>304</v>
      </c>
    </row>
    <row r="76" customFormat="false" ht="15" hidden="false" customHeight="true" outlineLevel="0" collapsed="false">
      <c r="A76" s="3" t="s">
        <v>378</v>
      </c>
      <c r="B76" s="3" t="s">
        <v>249</v>
      </c>
      <c r="C76" s="3" t="s">
        <v>237</v>
      </c>
      <c r="D76" s="3" t="s">
        <v>303</v>
      </c>
      <c r="E76" s="3" t="s">
        <v>60</v>
      </c>
      <c r="F76" s="3" t="s">
        <v>51</v>
      </c>
      <c r="G76" s="3" t="str">
        <f aca="false">E76&amp;"-"&amp;F76</f>
        <v>Jaisalmer-November</v>
      </c>
      <c r="H76" s="3" t="n">
        <f aca="false">INDEX(Weather_Data!$K$2:$K$73,MATCH($G76,Weather_Data!$J$2:$J$73,0))</f>
        <v>21</v>
      </c>
      <c r="I76" s="3" t="n">
        <f aca="false">INDEX(Weather_Data!$L$2:$L$73,MATCH($G76,Weather_Data!$J$2:$J$73,0))</f>
        <v>30</v>
      </c>
      <c r="J76" s="3" t="n">
        <f aca="false">INDEX(Weather_Data!$M$2:$M$73,MATCH($G76,Weather_Data!$J$2:$J$73,0))</f>
        <v>2</v>
      </c>
      <c r="K76" s="3" t="n">
        <f aca="false">INDEX(Weather_Data!$P$2:$P$73,MATCH($G76,Weather_Data!$J$2:$J$73,0))</f>
        <v>200</v>
      </c>
      <c r="L76" s="3" t="n">
        <f aca="false">INDEX(Weather_Data!$Q$2:$Q$73,MATCH($G76,Weather_Data!$J$2:$J$73,0))</f>
        <v>2</v>
      </c>
      <c r="M76" s="3" t="str">
        <f aca="false">INDEX(Shelter_Design!$I$2:$I$41,MATCH($B76,Shelter_Design!$A$2:$A$41,0))</f>
        <v>M14</v>
      </c>
      <c r="N76" s="3" t="n">
        <f aca="false">IFERROR(INDEX(Material_Properties!$D$2:$D$21,MATCH(M76,Material_Properties!$A$2:$A$21,0)),1)</f>
        <v>0.6</v>
      </c>
      <c r="O76" s="3" t="n">
        <f aca="false">INDEX(Shelter_Design!$M$2:$M$41,MATCH($B76,Shelter_Design!$A$2:$A$41,0))</f>
        <v>300</v>
      </c>
      <c r="P76" s="3" t="str">
        <f aca="false">INDEX(Shelter_Design!$L$2:$L$41,MATCH($B76,Shelter_Design!$A$2:$A$41,0))</f>
        <v>M08</v>
      </c>
      <c r="Q76" s="3" t="n">
        <f aca="false">IF(P76="None",0,IFERROR(INDEX(Material_Properties!$D$2:$D$21,MATCH(P76,Material_Properties!$A$2:$A$21,0)),0))</f>
        <v>0.031</v>
      </c>
      <c r="R76" s="3" t="n">
        <f aca="false">INDEX(Shelter_Design!$O$2:$O$41,MATCH($B76,Shelter_Design!$A$2:$A$41,0))</f>
        <v>30</v>
      </c>
      <c r="S76" s="3" t="n">
        <f aca="false">(O76/1000)/N76</f>
        <v>0.5</v>
      </c>
      <c r="T76" s="3" t="n">
        <f aca="false">IF(OR(P76="None",Q76=0),0,(R76/1000)/Q76)</f>
        <v>0.967741935483871</v>
      </c>
      <c r="U76" s="3" t="n">
        <v>0.17</v>
      </c>
      <c r="V76" s="3" t="n">
        <f aca="false">S76+T76+U76</f>
        <v>1.63774193548387</v>
      </c>
      <c r="W76" s="3" t="n">
        <f aca="false">1/V76</f>
        <v>0.610596809139256</v>
      </c>
      <c r="X76" s="3" t="n">
        <f aca="false">INDEX(Shelter_Design!$R$2:$R$41,MATCH($B76,Shelter_Design!$A$2:$A$41,0))</f>
        <v>32.8</v>
      </c>
      <c r="Y76" s="3" t="n">
        <f aca="false">INDEX(Shelter_Design!$P$2:$P$41,MATCH($B76,Shelter_Design!$A$2:$A$41,0))</f>
        <v>1</v>
      </c>
      <c r="Z76" s="3" t="n">
        <f aca="false">INDEX(Shelter_Design!$G$2:$G$41,MATCH($B76,Shelter_Design!$A$2:$A$41,0))</f>
        <v>27.3</v>
      </c>
      <c r="AA76" s="3" t="n">
        <f aca="false">INDEX(Shelter_Design!$S$2:$S$41,MATCH($B76,Shelter_Design!$A$2:$A$41,0))</f>
        <v>0.029585798816568</v>
      </c>
      <c r="AB76" s="3" t="n">
        <f aca="false">INDEX(Shelter_Design!$Y$2:$Y$41,MATCH($B76,Shelter_Design!$A$2:$A$41,0))</f>
        <v>2</v>
      </c>
      <c r="AC76" s="3" t="str">
        <f aca="false">INDEX(Shelter_Design!$Z$2:$Z$41,MATCH($B76,Shelter_Design!$A$2:$A$41,0))</f>
        <v>Light</v>
      </c>
      <c r="AD76" s="3" t="n">
        <f aca="false">INDEX(Shelter_Design!$AA$2:$AA$41,MATCH($B76,Shelter_Design!$A$2:$A$41,0))</f>
        <v>0.5</v>
      </c>
      <c r="AE76" s="3" t="s">
        <v>304</v>
      </c>
    </row>
    <row r="77" customFormat="false" ht="15" hidden="false" customHeight="true" outlineLevel="0" collapsed="false">
      <c r="A77" s="3" t="s">
        <v>379</v>
      </c>
      <c r="B77" s="3" t="s">
        <v>250</v>
      </c>
      <c r="C77" s="3" t="s">
        <v>237</v>
      </c>
      <c r="D77" s="3" t="s">
        <v>303</v>
      </c>
      <c r="E77" s="3" t="s">
        <v>60</v>
      </c>
      <c r="F77" s="3" t="s">
        <v>22</v>
      </c>
      <c r="G77" s="3" t="str">
        <f aca="false">E77&amp;"-"&amp;F77</f>
        <v>Jaisalmer-January</v>
      </c>
      <c r="H77" s="3" t="n">
        <f aca="false">INDEX(Weather_Data!$K$2:$K$73,MATCH($G77,Weather_Data!$J$2:$J$73,0))</f>
        <v>15</v>
      </c>
      <c r="I77" s="3" t="n">
        <f aca="false">INDEX(Weather_Data!$L$2:$L$73,MATCH($G77,Weather_Data!$J$2:$J$73,0))</f>
        <v>35</v>
      </c>
      <c r="J77" s="3" t="n">
        <f aca="false">INDEX(Weather_Data!$M$2:$M$73,MATCH($G77,Weather_Data!$J$2:$J$73,0))</f>
        <v>2</v>
      </c>
      <c r="K77" s="3" t="n">
        <f aca="false">INDEX(Weather_Data!$P$2:$P$73,MATCH($G77,Weather_Data!$J$2:$J$73,0))</f>
        <v>187.5</v>
      </c>
      <c r="L77" s="3" t="n">
        <f aca="false">INDEX(Weather_Data!$Q$2:$Q$73,MATCH($G77,Weather_Data!$J$2:$J$73,0))</f>
        <v>3</v>
      </c>
      <c r="M77" s="3" t="str">
        <f aca="false">INDEX(Shelter_Design!$I$2:$I$41,MATCH($B77,Shelter_Design!$A$2:$A$41,0))</f>
        <v>M14</v>
      </c>
      <c r="N77" s="3" t="n">
        <f aca="false">IFERROR(INDEX(Material_Properties!$D$2:$D$21,MATCH(M77,Material_Properties!$A$2:$A$21,0)),1)</f>
        <v>0.6</v>
      </c>
      <c r="O77" s="3" t="n">
        <f aca="false">INDEX(Shelter_Design!$M$2:$M$41,MATCH($B77,Shelter_Design!$A$2:$A$41,0))</f>
        <v>300</v>
      </c>
      <c r="P77" s="3" t="str">
        <f aca="false">INDEX(Shelter_Design!$L$2:$L$41,MATCH($B77,Shelter_Design!$A$2:$A$41,0))</f>
        <v>M08</v>
      </c>
      <c r="Q77" s="3" t="n">
        <f aca="false">IF(P77="None",0,IFERROR(INDEX(Material_Properties!$D$2:$D$21,MATCH(P77,Material_Properties!$A$2:$A$21,0)),0))</f>
        <v>0.031</v>
      </c>
      <c r="R77" s="3" t="n">
        <f aca="false">INDEX(Shelter_Design!$O$2:$O$41,MATCH($B77,Shelter_Design!$A$2:$A$41,0))</f>
        <v>30</v>
      </c>
      <c r="S77" s="3" t="n">
        <f aca="false">(O77/1000)/N77</f>
        <v>0.5</v>
      </c>
      <c r="T77" s="3" t="n">
        <f aca="false">IF(OR(P77="None",Q77=0),0,(R77/1000)/Q77)</f>
        <v>0.967741935483871</v>
      </c>
      <c r="U77" s="3" t="n">
        <v>0.17</v>
      </c>
      <c r="V77" s="3" t="n">
        <f aca="false">S77+T77+U77</f>
        <v>1.63774193548387</v>
      </c>
      <c r="W77" s="3" t="n">
        <f aca="false">1/V77</f>
        <v>0.610596809139256</v>
      </c>
      <c r="X77" s="3" t="n">
        <f aca="false">INDEX(Shelter_Design!$R$2:$R$41,MATCH($B77,Shelter_Design!$A$2:$A$41,0))</f>
        <v>51.6</v>
      </c>
      <c r="Y77" s="3" t="n">
        <f aca="false">INDEX(Shelter_Design!$P$2:$P$41,MATCH($B77,Shelter_Design!$A$2:$A$41,0))</f>
        <v>1.6</v>
      </c>
      <c r="Z77" s="3" t="n">
        <f aca="false">INDEX(Shelter_Design!$G$2:$G$41,MATCH($B77,Shelter_Design!$A$2:$A$41,0))</f>
        <v>63</v>
      </c>
      <c r="AA77" s="3" t="n">
        <f aca="false">INDEX(Shelter_Design!$S$2:$S$41,MATCH($B77,Shelter_Design!$A$2:$A$41,0))</f>
        <v>0.0300751879699248</v>
      </c>
      <c r="AB77" s="3" t="n">
        <f aca="false">INDEX(Shelter_Design!$Y$2:$Y$41,MATCH($B77,Shelter_Design!$A$2:$A$41,0))</f>
        <v>5</v>
      </c>
      <c r="AC77" s="3" t="str">
        <f aca="false">INDEX(Shelter_Design!$Z$2:$Z$41,MATCH($B77,Shelter_Design!$A$2:$A$41,0))</f>
        <v>Light</v>
      </c>
      <c r="AD77" s="3" t="n">
        <f aca="false">INDEX(Shelter_Design!$AA$2:$AA$41,MATCH($B77,Shelter_Design!$A$2:$A$41,0))</f>
        <v>0.5</v>
      </c>
      <c r="AE77" s="3" t="s">
        <v>304</v>
      </c>
    </row>
    <row r="78" customFormat="false" ht="15" hidden="false" customHeight="true" outlineLevel="0" collapsed="false">
      <c r="A78" s="3" t="s">
        <v>380</v>
      </c>
      <c r="B78" s="3" t="s">
        <v>250</v>
      </c>
      <c r="C78" s="3" t="s">
        <v>237</v>
      </c>
      <c r="D78" s="3" t="s">
        <v>303</v>
      </c>
      <c r="E78" s="3" t="s">
        <v>60</v>
      </c>
      <c r="F78" s="3" t="s">
        <v>33</v>
      </c>
      <c r="G78" s="3" t="str">
        <f aca="false">E78&amp;"-"&amp;F78</f>
        <v>Jaisalmer-April</v>
      </c>
      <c r="H78" s="3" t="n">
        <f aca="false">INDEX(Weather_Data!$K$2:$K$73,MATCH($G78,Weather_Data!$J$2:$J$73,0))</f>
        <v>32</v>
      </c>
      <c r="I78" s="3" t="n">
        <f aca="false">INDEX(Weather_Data!$L$2:$L$73,MATCH($G78,Weather_Data!$J$2:$J$73,0))</f>
        <v>20</v>
      </c>
      <c r="J78" s="3" t="n">
        <f aca="false">INDEX(Weather_Data!$M$2:$M$73,MATCH($G78,Weather_Data!$J$2:$J$73,0))</f>
        <v>4.5</v>
      </c>
      <c r="K78" s="3" t="n">
        <f aca="false">INDEX(Weather_Data!$P$2:$P$73,MATCH($G78,Weather_Data!$J$2:$J$73,0))</f>
        <v>283.333333333333</v>
      </c>
      <c r="L78" s="3" t="n">
        <f aca="false">INDEX(Weather_Data!$Q$2:$Q$73,MATCH($G78,Weather_Data!$J$2:$J$73,0))</f>
        <v>2</v>
      </c>
      <c r="M78" s="3" t="str">
        <f aca="false">INDEX(Shelter_Design!$I$2:$I$41,MATCH($B78,Shelter_Design!$A$2:$A$41,0))</f>
        <v>M14</v>
      </c>
      <c r="N78" s="3" t="n">
        <f aca="false">IFERROR(INDEX(Material_Properties!$D$2:$D$21,MATCH(M78,Material_Properties!$A$2:$A$21,0)),1)</f>
        <v>0.6</v>
      </c>
      <c r="O78" s="3" t="n">
        <f aca="false">INDEX(Shelter_Design!$M$2:$M$41,MATCH($B78,Shelter_Design!$A$2:$A$41,0))</f>
        <v>300</v>
      </c>
      <c r="P78" s="3" t="str">
        <f aca="false">INDEX(Shelter_Design!$L$2:$L$41,MATCH($B78,Shelter_Design!$A$2:$A$41,0))</f>
        <v>M08</v>
      </c>
      <c r="Q78" s="3" t="n">
        <f aca="false">IF(P78="None",0,IFERROR(INDEX(Material_Properties!$D$2:$D$21,MATCH(P78,Material_Properties!$A$2:$A$21,0)),0))</f>
        <v>0.031</v>
      </c>
      <c r="R78" s="3" t="n">
        <f aca="false">INDEX(Shelter_Design!$O$2:$O$41,MATCH($B78,Shelter_Design!$A$2:$A$41,0))</f>
        <v>30</v>
      </c>
      <c r="S78" s="3" t="n">
        <f aca="false">(O78/1000)/N78</f>
        <v>0.5</v>
      </c>
      <c r="T78" s="3" t="n">
        <f aca="false">IF(OR(P78="None",Q78=0),0,(R78/1000)/Q78)</f>
        <v>0.967741935483871</v>
      </c>
      <c r="U78" s="3" t="n">
        <v>0.17</v>
      </c>
      <c r="V78" s="3" t="n">
        <f aca="false">S78+T78+U78</f>
        <v>1.63774193548387</v>
      </c>
      <c r="W78" s="3" t="n">
        <f aca="false">1/V78</f>
        <v>0.610596809139256</v>
      </c>
      <c r="X78" s="3" t="n">
        <f aca="false">INDEX(Shelter_Design!$R$2:$R$41,MATCH($B78,Shelter_Design!$A$2:$A$41,0))</f>
        <v>51.6</v>
      </c>
      <c r="Y78" s="3" t="n">
        <f aca="false">INDEX(Shelter_Design!$P$2:$P$41,MATCH($B78,Shelter_Design!$A$2:$A$41,0))</f>
        <v>1.6</v>
      </c>
      <c r="Z78" s="3" t="n">
        <f aca="false">INDEX(Shelter_Design!$G$2:$G$41,MATCH($B78,Shelter_Design!$A$2:$A$41,0))</f>
        <v>63</v>
      </c>
      <c r="AA78" s="3" t="n">
        <f aca="false">INDEX(Shelter_Design!$S$2:$S$41,MATCH($B78,Shelter_Design!$A$2:$A$41,0))</f>
        <v>0.0300751879699248</v>
      </c>
      <c r="AB78" s="3" t="n">
        <f aca="false">INDEX(Shelter_Design!$Y$2:$Y$41,MATCH($B78,Shelter_Design!$A$2:$A$41,0))</f>
        <v>5</v>
      </c>
      <c r="AC78" s="3" t="str">
        <f aca="false">INDEX(Shelter_Design!$Z$2:$Z$41,MATCH($B78,Shelter_Design!$A$2:$A$41,0))</f>
        <v>Light</v>
      </c>
      <c r="AD78" s="3" t="n">
        <f aca="false">INDEX(Shelter_Design!$AA$2:$AA$41,MATCH($B78,Shelter_Design!$A$2:$A$41,0))</f>
        <v>0.5</v>
      </c>
      <c r="AE78" s="3" t="s">
        <v>304</v>
      </c>
    </row>
    <row r="79" customFormat="false" ht="15" hidden="false" customHeight="true" outlineLevel="0" collapsed="false">
      <c r="A79" s="3" t="s">
        <v>381</v>
      </c>
      <c r="B79" s="3" t="s">
        <v>250</v>
      </c>
      <c r="C79" s="3" t="s">
        <v>237</v>
      </c>
      <c r="D79" s="3" t="s">
        <v>303</v>
      </c>
      <c r="E79" s="3" t="s">
        <v>60</v>
      </c>
      <c r="F79" s="3" t="s">
        <v>42</v>
      </c>
      <c r="G79" s="3" t="str">
        <f aca="false">E79&amp;"-"&amp;F79</f>
        <v>Jaisalmer-July</v>
      </c>
      <c r="H79" s="3" t="n">
        <f aca="false">INDEX(Weather_Data!$K$2:$K$73,MATCH($G79,Weather_Data!$J$2:$J$73,0))</f>
        <v>34</v>
      </c>
      <c r="I79" s="3" t="n">
        <f aca="false">INDEX(Weather_Data!$L$2:$L$73,MATCH($G79,Weather_Data!$J$2:$J$73,0))</f>
        <v>50</v>
      </c>
      <c r="J79" s="3" t="n">
        <f aca="false">INDEX(Weather_Data!$M$2:$M$73,MATCH($G79,Weather_Data!$J$2:$J$73,0))</f>
        <v>3.5</v>
      </c>
      <c r="K79" s="3" t="n">
        <f aca="false">INDEX(Weather_Data!$P$2:$P$73,MATCH($G79,Weather_Data!$J$2:$J$73,0))</f>
        <v>229.166666666667</v>
      </c>
      <c r="L79" s="3" t="n">
        <f aca="false">INDEX(Weather_Data!$Q$2:$Q$73,MATCH($G79,Weather_Data!$J$2:$J$73,0))</f>
        <v>60</v>
      </c>
      <c r="M79" s="3" t="str">
        <f aca="false">INDEX(Shelter_Design!$I$2:$I$41,MATCH($B79,Shelter_Design!$A$2:$A$41,0))</f>
        <v>M14</v>
      </c>
      <c r="N79" s="3" t="n">
        <f aca="false">IFERROR(INDEX(Material_Properties!$D$2:$D$21,MATCH(M79,Material_Properties!$A$2:$A$21,0)),1)</f>
        <v>0.6</v>
      </c>
      <c r="O79" s="3" t="n">
        <f aca="false">INDEX(Shelter_Design!$M$2:$M$41,MATCH($B79,Shelter_Design!$A$2:$A$41,0))</f>
        <v>300</v>
      </c>
      <c r="P79" s="3" t="str">
        <f aca="false">INDEX(Shelter_Design!$L$2:$L$41,MATCH($B79,Shelter_Design!$A$2:$A$41,0))</f>
        <v>M08</v>
      </c>
      <c r="Q79" s="3" t="n">
        <f aca="false">IF(P79="None",0,IFERROR(INDEX(Material_Properties!$D$2:$D$21,MATCH(P79,Material_Properties!$A$2:$A$21,0)),0))</f>
        <v>0.031</v>
      </c>
      <c r="R79" s="3" t="n">
        <f aca="false">INDEX(Shelter_Design!$O$2:$O$41,MATCH($B79,Shelter_Design!$A$2:$A$41,0))</f>
        <v>30</v>
      </c>
      <c r="S79" s="3" t="n">
        <f aca="false">(O79/1000)/N79</f>
        <v>0.5</v>
      </c>
      <c r="T79" s="3" t="n">
        <f aca="false">IF(OR(P79="None",Q79=0),0,(R79/1000)/Q79)</f>
        <v>0.967741935483871</v>
      </c>
      <c r="U79" s="3" t="n">
        <v>0.17</v>
      </c>
      <c r="V79" s="3" t="n">
        <f aca="false">S79+T79+U79</f>
        <v>1.63774193548387</v>
      </c>
      <c r="W79" s="3" t="n">
        <f aca="false">1/V79</f>
        <v>0.610596809139256</v>
      </c>
      <c r="X79" s="3" t="n">
        <f aca="false">INDEX(Shelter_Design!$R$2:$R$41,MATCH($B79,Shelter_Design!$A$2:$A$41,0))</f>
        <v>51.6</v>
      </c>
      <c r="Y79" s="3" t="n">
        <f aca="false">INDEX(Shelter_Design!$P$2:$P$41,MATCH($B79,Shelter_Design!$A$2:$A$41,0))</f>
        <v>1.6</v>
      </c>
      <c r="Z79" s="3" t="n">
        <f aca="false">INDEX(Shelter_Design!$G$2:$G$41,MATCH($B79,Shelter_Design!$A$2:$A$41,0))</f>
        <v>63</v>
      </c>
      <c r="AA79" s="3" t="n">
        <f aca="false">INDEX(Shelter_Design!$S$2:$S$41,MATCH($B79,Shelter_Design!$A$2:$A$41,0))</f>
        <v>0.0300751879699248</v>
      </c>
      <c r="AB79" s="3" t="n">
        <f aca="false">INDEX(Shelter_Design!$Y$2:$Y$41,MATCH($B79,Shelter_Design!$A$2:$A$41,0))</f>
        <v>5</v>
      </c>
      <c r="AC79" s="3" t="str">
        <f aca="false">INDEX(Shelter_Design!$Z$2:$Z$41,MATCH($B79,Shelter_Design!$A$2:$A$41,0))</f>
        <v>Light</v>
      </c>
      <c r="AD79" s="3" t="n">
        <f aca="false">INDEX(Shelter_Design!$AA$2:$AA$41,MATCH($B79,Shelter_Design!$A$2:$A$41,0))</f>
        <v>0.5</v>
      </c>
      <c r="AE79" s="3" t="s">
        <v>304</v>
      </c>
    </row>
    <row r="80" customFormat="false" ht="15" hidden="false" customHeight="true" outlineLevel="0" collapsed="false">
      <c r="A80" s="3" t="s">
        <v>382</v>
      </c>
      <c r="B80" s="3" t="s">
        <v>250</v>
      </c>
      <c r="C80" s="3" t="s">
        <v>237</v>
      </c>
      <c r="D80" s="3" t="s">
        <v>303</v>
      </c>
      <c r="E80" s="3" t="s">
        <v>60</v>
      </c>
      <c r="F80" s="3" t="s">
        <v>46</v>
      </c>
      <c r="G80" s="3" t="str">
        <f aca="false">E80&amp;"-"&amp;F80</f>
        <v>Jaisalmer-September</v>
      </c>
      <c r="H80" s="3" t="n">
        <f aca="false">INDEX(Weather_Data!$K$2:$K$73,MATCH($G80,Weather_Data!$J$2:$J$73,0))</f>
        <v>32</v>
      </c>
      <c r="I80" s="3" t="n">
        <f aca="false">INDEX(Weather_Data!$L$2:$L$73,MATCH($G80,Weather_Data!$J$2:$J$73,0))</f>
        <v>45</v>
      </c>
      <c r="J80" s="3" t="n">
        <f aca="false">INDEX(Weather_Data!$M$2:$M$73,MATCH($G80,Weather_Data!$J$2:$J$73,0))</f>
        <v>2.5</v>
      </c>
      <c r="K80" s="3" t="n">
        <f aca="false">INDEX(Weather_Data!$P$2:$P$73,MATCH($G80,Weather_Data!$J$2:$J$73,0))</f>
        <v>241.666666666667</v>
      </c>
      <c r="L80" s="3" t="n">
        <f aca="false">INDEX(Weather_Data!$Q$2:$Q$73,MATCH($G80,Weather_Data!$J$2:$J$73,0))</f>
        <v>25</v>
      </c>
      <c r="M80" s="3" t="str">
        <f aca="false">INDEX(Shelter_Design!$I$2:$I$41,MATCH($B80,Shelter_Design!$A$2:$A$41,0))</f>
        <v>M14</v>
      </c>
      <c r="N80" s="3" t="n">
        <f aca="false">IFERROR(INDEX(Material_Properties!$D$2:$D$21,MATCH(M80,Material_Properties!$A$2:$A$21,0)),1)</f>
        <v>0.6</v>
      </c>
      <c r="O80" s="3" t="n">
        <f aca="false">INDEX(Shelter_Design!$M$2:$M$41,MATCH($B80,Shelter_Design!$A$2:$A$41,0))</f>
        <v>300</v>
      </c>
      <c r="P80" s="3" t="str">
        <f aca="false">INDEX(Shelter_Design!$L$2:$L$41,MATCH($B80,Shelter_Design!$A$2:$A$41,0))</f>
        <v>M08</v>
      </c>
      <c r="Q80" s="3" t="n">
        <f aca="false">IF(P80="None",0,IFERROR(INDEX(Material_Properties!$D$2:$D$21,MATCH(P80,Material_Properties!$A$2:$A$21,0)),0))</f>
        <v>0.031</v>
      </c>
      <c r="R80" s="3" t="n">
        <f aca="false">INDEX(Shelter_Design!$O$2:$O$41,MATCH($B80,Shelter_Design!$A$2:$A$41,0))</f>
        <v>30</v>
      </c>
      <c r="S80" s="3" t="n">
        <f aca="false">(O80/1000)/N80</f>
        <v>0.5</v>
      </c>
      <c r="T80" s="3" t="n">
        <f aca="false">IF(OR(P80="None",Q80=0),0,(R80/1000)/Q80)</f>
        <v>0.967741935483871</v>
      </c>
      <c r="U80" s="3" t="n">
        <v>0.17</v>
      </c>
      <c r="V80" s="3" t="n">
        <f aca="false">S80+T80+U80</f>
        <v>1.63774193548387</v>
      </c>
      <c r="W80" s="3" t="n">
        <f aca="false">1/V80</f>
        <v>0.610596809139256</v>
      </c>
      <c r="X80" s="3" t="n">
        <f aca="false">INDEX(Shelter_Design!$R$2:$R$41,MATCH($B80,Shelter_Design!$A$2:$A$41,0))</f>
        <v>51.6</v>
      </c>
      <c r="Y80" s="3" t="n">
        <f aca="false">INDEX(Shelter_Design!$P$2:$P$41,MATCH($B80,Shelter_Design!$A$2:$A$41,0))</f>
        <v>1.6</v>
      </c>
      <c r="Z80" s="3" t="n">
        <f aca="false">INDEX(Shelter_Design!$G$2:$G$41,MATCH($B80,Shelter_Design!$A$2:$A$41,0))</f>
        <v>63</v>
      </c>
      <c r="AA80" s="3" t="n">
        <f aca="false">INDEX(Shelter_Design!$S$2:$S$41,MATCH($B80,Shelter_Design!$A$2:$A$41,0))</f>
        <v>0.0300751879699248</v>
      </c>
      <c r="AB80" s="3" t="n">
        <f aca="false">INDEX(Shelter_Design!$Y$2:$Y$41,MATCH($B80,Shelter_Design!$A$2:$A$41,0))</f>
        <v>5</v>
      </c>
      <c r="AC80" s="3" t="str">
        <f aca="false">INDEX(Shelter_Design!$Z$2:$Z$41,MATCH($B80,Shelter_Design!$A$2:$A$41,0))</f>
        <v>Light</v>
      </c>
      <c r="AD80" s="3" t="n">
        <f aca="false">INDEX(Shelter_Design!$AA$2:$AA$41,MATCH($B80,Shelter_Design!$A$2:$A$41,0))</f>
        <v>0.5</v>
      </c>
      <c r="AE80" s="3" t="s">
        <v>304</v>
      </c>
    </row>
    <row r="81" customFormat="false" ht="15" hidden="false" customHeight="true" outlineLevel="0" collapsed="false">
      <c r="A81" s="3" t="s">
        <v>383</v>
      </c>
      <c r="B81" s="3" t="s">
        <v>250</v>
      </c>
      <c r="C81" s="3" t="s">
        <v>237</v>
      </c>
      <c r="D81" s="3" t="s">
        <v>303</v>
      </c>
      <c r="E81" s="3" t="s">
        <v>60</v>
      </c>
      <c r="F81" s="3" t="s">
        <v>51</v>
      </c>
      <c r="G81" s="3" t="str">
        <f aca="false">E81&amp;"-"&amp;F81</f>
        <v>Jaisalmer-November</v>
      </c>
      <c r="H81" s="3" t="n">
        <f aca="false">INDEX(Weather_Data!$K$2:$K$73,MATCH($G81,Weather_Data!$J$2:$J$73,0))</f>
        <v>21</v>
      </c>
      <c r="I81" s="3" t="n">
        <f aca="false">INDEX(Weather_Data!$L$2:$L$73,MATCH($G81,Weather_Data!$J$2:$J$73,0))</f>
        <v>30</v>
      </c>
      <c r="J81" s="3" t="n">
        <f aca="false">INDEX(Weather_Data!$M$2:$M$73,MATCH($G81,Weather_Data!$J$2:$J$73,0))</f>
        <v>2</v>
      </c>
      <c r="K81" s="3" t="n">
        <f aca="false">INDEX(Weather_Data!$P$2:$P$73,MATCH($G81,Weather_Data!$J$2:$J$73,0))</f>
        <v>200</v>
      </c>
      <c r="L81" s="3" t="n">
        <f aca="false">INDEX(Weather_Data!$Q$2:$Q$73,MATCH($G81,Weather_Data!$J$2:$J$73,0))</f>
        <v>2</v>
      </c>
      <c r="M81" s="3" t="str">
        <f aca="false">INDEX(Shelter_Design!$I$2:$I$41,MATCH($B81,Shelter_Design!$A$2:$A$41,0))</f>
        <v>M14</v>
      </c>
      <c r="N81" s="3" t="n">
        <f aca="false">IFERROR(INDEX(Material_Properties!$D$2:$D$21,MATCH(M81,Material_Properties!$A$2:$A$21,0)),1)</f>
        <v>0.6</v>
      </c>
      <c r="O81" s="3" t="n">
        <f aca="false">INDEX(Shelter_Design!$M$2:$M$41,MATCH($B81,Shelter_Design!$A$2:$A$41,0))</f>
        <v>300</v>
      </c>
      <c r="P81" s="3" t="str">
        <f aca="false">INDEX(Shelter_Design!$L$2:$L$41,MATCH($B81,Shelter_Design!$A$2:$A$41,0))</f>
        <v>M08</v>
      </c>
      <c r="Q81" s="3" t="n">
        <f aca="false">IF(P81="None",0,IFERROR(INDEX(Material_Properties!$D$2:$D$21,MATCH(P81,Material_Properties!$A$2:$A$21,0)),0))</f>
        <v>0.031</v>
      </c>
      <c r="R81" s="3" t="n">
        <f aca="false">INDEX(Shelter_Design!$O$2:$O$41,MATCH($B81,Shelter_Design!$A$2:$A$41,0))</f>
        <v>30</v>
      </c>
      <c r="S81" s="3" t="n">
        <f aca="false">(O81/1000)/N81</f>
        <v>0.5</v>
      </c>
      <c r="T81" s="3" t="n">
        <f aca="false">IF(OR(P81="None",Q81=0),0,(R81/1000)/Q81)</f>
        <v>0.967741935483871</v>
      </c>
      <c r="U81" s="3" t="n">
        <v>0.17</v>
      </c>
      <c r="V81" s="3" t="n">
        <f aca="false">S81+T81+U81</f>
        <v>1.63774193548387</v>
      </c>
      <c r="W81" s="3" t="n">
        <f aca="false">1/V81</f>
        <v>0.610596809139256</v>
      </c>
      <c r="X81" s="3" t="n">
        <f aca="false">INDEX(Shelter_Design!$R$2:$R$41,MATCH($B81,Shelter_Design!$A$2:$A$41,0))</f>
        <v>51.6</v>
      </c>
      <c r="Y81" s="3" t="n">
        <f aca="false">INDEX(Shelter_Design!$P$2:$P$41,MATCH($B81,Shelter_Design!$A$2:$A$41,0))</f>
        <v>1.6</v>
      </c>
      <c r="Z81" s="3" t="n">
        <f aca="false">INDEX(Shelter_Design!$G$2:$G$41,MATCH($B81,Shelter_Design!$A$2:$A$41,0))</f>
        <v>63</v>
      </c>
      <c r="AA81" s="3" t="n">
        <f aca="false">INDEX(Shelter_Design!$S$2:$S$41,MATCH($B81,Shelter_Design!$A$2:$A$41,0))</f>
        <v>0.0300751879699248</v>
      </c>
      <c r="AB81" s="3" t="n">
        <f aca="false">INDEX(Shelter_Design!$Y$2:$Y$41,MATCH($B81,Shelter_Design!$A$2:$A$41,0))</f>
        <v>5</v>
      </c>
      <c r="AC81" s="3" t="str">
        <f aca="false">INDEX(Shelter_Design!$Z$2:$Z$41,MATCH($B81,Shelter_Design!$A$2:$A$41,0))</f>
        <v>Light</v>
      </c>
      <c r="AD81" s="3" t="n">
        <f aca="false">INDEX(Shelter_Design!$AA$2:$AA$41,MATCH($B81,Shelter_Design!$A$2:$A$41,0))</f>
        <v>0.5</v>
      </c>
      <c r="AE81" s="3" t="s">
        <v>304</v>
      </c>
    </row>
    <row r="82" customFormat="false" ht="15" hidden="false" customHeight="true" outlineLevel="0" collapsed="false">
      <c r="A82" s="3" t="s">
        <v>384</v>
      </c>
      <c r="B82" s="3" t="s">
        <v>265</v>
      </c>
      <c r="C82" s="3" t="s">
        <v>266</v>
      </c>
      <c r="D82" s="3" t="s">
        <v>303</v>
      </c>
      <c r="E82" s="3" t="s">
        <v>55</v>
      </c>
      <c r="F82" s="3" t="s">
        <v>22</v>
      </c>
      <c r="G82" s="3" t="str">
        <f aca="false">E82&amp;"-"&amp;F82</f>
        <v>Srinagar-January</v>
      </c>
      <c r="H82" s="3" t="n">
        <f aca="false">INDEX(Weather_Data!$K$2:$K$73,MATCH($G82,Weather_Data!$J$2:$J$73,0))</f>
        <v>3</v>
      </c>
      <c r="I82" s="3" t="n">
        <f aca="false">INDEX(Weather_Data!$L$2:$L$73,MATCH($G82,Weather_Data!$J$2:$J$73,0))</f>
        <v>55</v>
      </c>
      <c r="J82" s="3" t="n">
        <f aca="false">INDEX(Weather_Data!$M$2:$M$73,MATCH($G82,Weather_Data!$J$2:$J$73,0))</f>
        <v>1.5</v>
      </c>
      <c r="K82" s="3" t="n">
        <f aca="false">INDEX(Weather_Data!$P$2:$P$73,MATCH($G82,Weather_Data!$J$2:$J$73,0))</f>
        <v>104.166666666667</v>
      </c>
      <c r="L82" s="3" t="n">
        <f aca="false">INDEX(Weather_Data!$Q$2:$Q$73,MATCH($G82,Weather_Data!$J$2:$J$73,0))</f>
        <v>70</v>
      </c>
      <c r="M82" s="3" t="str">
        <f aca="false">INDEX(Shelter_Design!$I$2:$I$41,MATCH($B82,Shelter_Design!$A$2:$A$41,0))</f>
        <v>M02</v>
      </c>
      <c r="N82" s="3" t="n">
        <f aca="false">IFERROR(INDEX(Material_Properties!$D$2:$D$21,MATCH(M82,Material_Properties!$A$2:$A$21,0)),1)</f>
        <v>0.7</v>
      </c>
      <c r="O82" s="3" t="n">
        <f aca="false">INDEX(Shelter_Design!$M$2:$M$41,MATCH($B82,Shelter_Design!$A$2:$A$41,0))</f>
        <v>230</v>
      </c>
      <c r="P82" s="3" t="str">
        <f aca="false">INDEX(Shelter_Design!$L$2:$L$41,MATCH($B82,Shelter_Design!$A$2:$A$41,0))</f>
        <v>M10</v>
      </c>
      <c r="Q82" s="3" t="n">
        <f aca="false">IF(P82="None",0,IFERROR(INDEX(Material_Properties!$D$2:$D$21,MATCH(P82,Material_Properties!$A$2:$A$21,0)),0))</f>
        <v>0.038</v>
      </c>
      <c r="R82" s="3" t="n">
        <f aca="false">INDEX(Shelter_Design!$O$2:$O$41,MATCH($B82,Shelter_Design!$A$2:$A$41,0))</f>
        <v>50</v>
      </c>
      <c r="S82" s="3" t="n">
        <f aca="false">(O82/1000)/N82</f>
        <v>0.328571428571429</v>
      </c>
      <c r="T82" s="3" t="n">
        <f aca="false">IF(OR(P82="None",Q82=0),0,(R82/1000)/Q82)</f>
        <v>1.31578947368421</v>
      </c>
      <c r="U82" s="3" t="n">
        <v>0.17</v>
      </c>
      <c r="V82" s="3" t="n">
        <f aca="false">S82+T82+U82</f>
        <v>1.81436090225564</v>
      </c>
      <c r="W82" s="3" t="n">
        <f aca="false">1/V82</f>
        <v>0.551158261157847</v>
      </c>
      <c r="X82" s="3" t="n">
        <f aca="false">INDEX(Shelter_Design!$R$2:$R$41,MATCH($B82,Shelter_Design!$A$2:$A$41,0))</f>
        <v>35</v>
      </c>
      <c r="Y82" s="3" t="n">
        <f aca="false">INDEX(Shelter_Design!$P$2:$P$41,MATCH($B82,Shelter_Design!$A$2:$A$41,0))</f>
        <v>1.4</v>
      </c>
      <c r="Z82" s="3" t="n">
        <f aca="false">INDEX(Shelter_Design!$G$2:$G$41,MATCH($B82,Shelter_Design!$A$2:$A$41,0))</f>
        <v>31.85</v>
      </c>
      <c r="AA82" s="3" t="n">
        <f aca="false">INDEX(Shelter_Design!$S$2:$S$41,MATCH($B82,Shelter_Design!$A$2:$A$41,0))</f>
        <v>0.0384615384615385</v>
      </c>
      <c r="AB82" s="3" t="n">
        <f aca="false">INDEX(Shelter_Design!$Y$2:$Y$41,MATCH($B82,Shelter_Design!$A$2:$A$41,0))</f>
        <v>3</v>
      </c>
      <c r="AC82" s="3" t="str">
        <f aca="false">INDEX(Shelter_Design!$Z$2:$Z$41,MATCH($B82,Shelter_Design!$A$2:$A$41,0))</f>
        <v>Light-moderate</v>
      </c>
      <c r="AD82" s="3" t="n">
        <f aca="false">INDEX(Shelter_Design!$AA$2:$AA$41,MATCH($B82,Shelter_Design!$A$2:$A$41,0))</f>
        <v>1</v>
      </c>
      <c r="AE82" s="3" t="s">
        <v>304</v>
      </c>
    </row>
    <row r="83" customFormat="false" ht="15" hidden="false" customHeight="true" outlineLevel="0" collapsed="false">
      <c r="A83" s="3" t="s">
        <v>385</v>
      </c>
      <c r="B83" s="3" t="s">
        <v>265</v>
      </c>
      <c r="C83" s="3" t="s">
        <v>266</v>
      </c>
      <c r="D83" s="3" t="s">
        <v>303</v>
      </c>
      <c r="E83" s="3" t="s">
        <v>55</v>
      </c>
      <c r="F83" s="3" t="s">
        <v>33</v>
      </c>
      <c r="G83" s="3" t="str">
        <f aca="false">E83&amp;"-"&amp;F83</f>
        <v>Srinagar-April</v>
      </c>
      <c r="H83" s="3" t="n">
        <f aca="false">INDEX(Weather_Data!$K$2:$K$73,MATCH($G83,Weather_Data!$J$2:$J$73,0))</f>
        <v>15</v>
      </c>
      <c r="I83" s="3" t="n">
        <f aca="false">INDEX(Weather_Data!$L$2:$L$73,MATCH($G83,Weather_Data!$J$2:$J$73,0))</f>
        <v>50</v>
      </c>
      <c r="J83" s="3" t="n">
        <f aca="false">INDEX(Weather_Data!$M$2:$M$73,MATCH($G83,Weather_Data!$J$2:$J$73,0))</f>
        <v>2.5</v>
      </c>
      <c r="K83" s="3" t="n">
        <f aca="false">INDEX(Weather_Data!$P$2:$P$73,MATCH($G83,Weather_Data!$J$2:$J$73,0))</f>
        <v>208.333333333333</v>
      </c>
      <c r="L83" s="3" t="n">
        <f aca="false">INDEX(Weather_Data!$Q$2:$Q$73,MATCH($G83,Weather_Data!$J$2:$J$73,0))</f>
        <v>90</v>
      </c>
      <c r="M83" s="3" t="str">
        <f aca="false">INDEX(Shelter_Design!$I$2:$I$41,MATCH($B83,Shelter_Design!$A$2:$A$41,0))</f>
        <v>M02</v>
      </c>
      <c r="N83" s="3" t="n">
        <f aca="false">IFERROR(INDEX(Material_Properties!$D$2:$D$21,MATCH(M83,Material_Properties!$A$2:$A$21,0)),1)</f>
        <v>0.7</v>
      </c>
      <c r="O83" s="3" t="n">
        <f aca="false">INDEX(Shelter_Design!$M$2:$M$41,MATCH($B83,Shelter_Design!$A$2:$A$41,0))</f>
        <v>230</v>
      </c>
      <c r="P83" s="3" t="str">
        <f aca="false">INDEX(Shelter_Design!$L$2:$L$41,MATCH($B83,Shelter_Design!$A$2:$A$41,0))</f>
        <v>M10</v>
      </c>
      <c r="Q83" s="3" t="n">
        <f aca="false">IF(P83="None",0,IFERROR(INDEX(Material_Properties!$D$2:$D$21,MATCH(P83,Material_Properties!$A$2:$A$21,0)),0))</f>
        <v>0.038</v>
      </c>
      <c r="R83" s="3" t="n">
        <f aca="false">INDEX(Shelter_Design!$O$2:$O$41,MATCH($B83,Shelter_Design!$A$2:$A$41,0))</f>
        <v>50</v>
      </c>
      <c r="S83" s="3" t="n">
        <f aca="false">(O83/1000)/N83</f>
        <v>0.328571428571429</v>
      </c>
      <c r="T83" s="3" t="n">
        <f aca="false">IF(OR(P83="None",Q83=0),0,(R83/1000)/Q83)</f>
        <v>1.31578947368421</v>
      </c>
      <c r="U83" s="3" t="n">
        <v>0.17</v>
      </c>
      <c r="V83" s="3" t="n">
        <f aca="false">S83+T83+U83</f>
        <v>1.81436090225564</v>
      </c>
      <c r="W83" s="3" t="n">
        <f aca="false">1/V83</f>
        <v>0.551158261157847</v>
      </c>
      <c r="X83" s="3" t="n">
        <f aca="false">INDEX(Shelter_Design!$R$2:$R$41,MATCH($B83,Shelter_Design!$A$2:$A$41,0))</f>
        <v>35</v>
      </c>
      <c r="Y83" s="3" t="n">
        <f aca="false">INDEX(Shelter_Design!$P$2:$P$41,MATCH($B83,Shelter_Design!$A$2:$A$41,0))</f>
        <v>1.4</v>
      </c>
      <c r="Z83" s="3" t="n">
        <f aca="false">INDEX(Shelter_Design!$G$2:$G$41,MATCH($B83,Shelter_Design!$A$2:$A$41,0))</f>
        <v>31.85</v>
      </c>
      <c r="AA83" s="3" t="n">
        <f aca="false">INDEX(Shelter_Design!$S$2:$S$41,MATCH($B83,Shelter_Design!$A$2:$A$41,0))</f>
        <v>0.0384615384615385</v>
      </c>
      <c r="AB83" s="3" t="n">
        <f aca="false">INDEX(Shelter_Design!$Y$2:$Y$41,MATCH($B83,Shelter_Design!$A$2:$A$41,0))</f>
        <v>3</v>
      </c>
      <c r="AC83" s="3" t="str">
        <f aca="false">INDEX(Shelter_Design!$Z$2:$Z$41,MATCH($B83,Shelter_Design!$A$2:$A$41,0))</f>
        <v>Light-moderate</v>
      </c>
      <c r="AD83" s="3" t="n">
        <f aca="false">INDEX(Shelter_Design!$AA$2:$AA$41,MATCH($B83,Shelter_Design!$A$2:$A$41,0))</f>
        <v>1</v>
      </c>
      <c r="AE83" s="3" t="s">
        <v>304</v>
      </c>
    </row>
    <row r="84" customFormat="false" ht="15" hidden="false" customHeight="true" outlineLevel="0" collapsed="false">
      <c r="A84" s="3" t="s">
        <v>386</v>
      </c>
      <c r="B84" s="3" t="s">
        <v>265</v>
      </c>
      <c r="C84" s="3" t="s">
        <v>266</v>
      </c>
      <c r="D84" s="3" t="s">
        <v>303</v>
      </c>
      <c r="E84" s="3" t="s">
        <v>55</v>
      </c>
      <c r="F84" s="3" t="s">
        <v>42</v>
      </c>
      <c r="G84" s="3" t="str">
        <f aca="false">E84&amp;"-"&amp;F84</f>
        <v>Srinagar-July</v>
      </c>
      <c r="H84" s="3" t="n">
        <f aca="false">INDEX(Weather_Data!$K$2:$K$73,MATCH($G84,Weather_Data!$J$2:$J$73,0))</f>
        <v>26</v>
      </c>
      <c r="I84" s="3" t="n">
        <f aca="false">INDEX(Weather_Data!$L$2:$L$73,MATCH($G84,Weather_Data!$J$2:$J$73,0))</f>
        <v>60</v>
      </c>
      <c r="J84" s="3" t="n">
        <f aca="false">INDEX(Weather_Data!$M$2:$M$73,MATCH($G84,Weather_Data!$J$2:$J$73,0))</f>
        <v>1.8</v>
      </c>
      <c r="K84" s="3" t="n">
        <f aca="false">INDEX(Weather_Data!$P$2:$P$73,MATCH($G84,Weather_Data!$J$2:$J$73,0))</f>
        <v>208.333333333333</v>
      </c>
      <c r="L84" s="3" t="n">
        <f aca="false">INDEX(Weather_Data!$Q$2:$Q$73,MATCH($G84,Weather_Data!$J$2:$J$73,0))</f>
        <v>60</v>
      </c>
      <c r="M84" s="3" t="str">
        <f aca="false">INDEX(Shelter_Design!$I$2:$I$41,MATCH($B84,Shelter_Design!$A$2:$A$41,0))</f>
        <v>M02</v>
      </c>
      <c r="N84" s="3" t="n">
        <f aca="false">IFERROR(INDEX(Material_Properties!$D$2:$D$21,MATCH(M84,Material_Properties!$A$2:$A$21,0)),1)</f>
        <v>0.7</v>
      </c>
      <c r="O84" s="3" t="n">
        <f aca="false">INDEX(Shelter_Design!$M$2:$M$41,MATCH($B84,Shelter_Design!$A$2:$A$41,0))</f>
        <v>230</v>
      </c>
      <c r="P84" s="3" t="str">
        <f aca="false">INDEX(Shelter_Design!$L$2:$L$41,MATCH($B84,Shelter_Design!$A$2:$A$41,0))</f>
        <v>M10</v>
      </c>
      <c r="Q84" s="3" t="n">
        <f aca="false">IF(P84="None",0,IFERROR(INDEX(Material_Properties!$D$2:$D$21,MATCH(P84,Material_Properties!$A$2:$A$21,0)),0))</f>
        <v>0.038</v>
      </c>
      <c r="R84" s="3" t="n">
        <f aca="false">INDEX(Shelter_Design!$O$2:$O$41,MATCH($B84,Shelter_Design!$A$2:$A$41,0))</f>
        <v>50</v>
      </c>
      <c r="S84" s="3" t="n">
        <f aca="false">(O84/1000)/N84</f>
        <v>0.328571428571429</v>
      </c>
      <c r="T84" s="3" t="n">
        <f aca="false">IF(OR(P84="None",Q84=0),0,(R84/1000)/Q84)</f>
        <v>1.31578947368421</v>
      </c>
      <c r="U84" s="3" t="n">
        <v>0.17</v>
      </c>
      <c r="V84" s="3" t="n">
        <f aca="false">S84+T84+U84</f>
        <v>1.81436090225564</v>
      </c>
      <c r="W84" s="3" t="n">
        <f aca="false">1/V84</f>
        <v>0.551158261157847</v>
      </c>
      <c r="X84" s="3" t="n">
        <f aca="false">INDEX(Shelter_Design!$R$2:$R$41,MATCH($B84,Shelter_Design!$A$2:$A$41,0))</f>
        <v>35</v>
      </c>
      <c r="Y84" s="3" t="n">
        <f aca="false">INDEX(Shelter_Design!$P$2:$P$41,MATCH($B84,Shelter_Design!$A$2:$A$41,0))</f>
        <v>1.4</v>
      </c>
      <c r="Z84" s="3" t="n">
        <f aca="false">INDEX(Shelter_Design!$G$2:$G$41,MATCH($B84,Shelter_Design!$A$2:$A$41,0))</f>
        <v>31.85</v>
      </c>
      <c r="AA84" s="3" t="n">
        <f aca="false">INDEX(Shelter_Design!$S$2:$S$41,MATCH($B84,Shelter_Design!$A$2:$A$41,0))</f>
        <v>0.0384615384615385</v>
      </c>
      <c r="AB84" s="3" t="n">
        <f aca="false">INDEX(Shelter_Design!$Y$2:$Y$41,MATCH($B84,Shelter_Design!$A$2:$A$41,0))</f>
        <v>3</v>
      </c>
      <c r="AC84" s="3" t="str">
        <f aca="false">INDEX(Shelter_Design!$Z$2:$Z$41,MATCH($B84,Shelter_Design!$A$2:$A$41,0))</f>
        <v>Light-moderate</v>
      </c>
      <c r="AD84" s="3" t="n">
        <f aca="false">INDEX(Shelter_Design!$AA$2:$AA$41,MATCH($B84,Shelter_Design!$A$2:$A$41,0))</f>
        <v>1</v>
      </c>
      <c r="AE84" s="3" t="s">
        <v>304</v>
      </c>
    </row>
    <row r="85" customFormat="false" ht="15" hidden="false" customHeight="true" outlineLevel="0" collapsed="false">
      <c r="A85" s="3" t="s">
        <v>387</v>
      </c>
      <c r="B85" s="3" t="s">
        <v>265</v>
      </c>
      <c r="C85" s="3" t="s">
        <v>266</v>
      </c>
      <c r="D85" s="3" t="s">
        <v>303</v>
      </c>
      <c r="E85" s="3" t="s">
        <v>55</v>
      </c>
      <c r="F85" s="3" t="s">
        <v>46</v>
      </c>
      <c r="G85" s="3" t="str">
        <f aca="false">E85&amp;"-"&amp;F85</f>
        <v>Srinagar-September</v>
      </c>
      <c r="H85" s="3" t="n">
        <f aca="false">INDEX(Weather_Data!$K$2:$K$73,MATCH($G85,Weather_Data!$J$2:$J$73,0))</f>
        <v>22</v>
      </c>
      <c r="I85" s="3" t="n">
        <f aca="false">INDEX(Weather_Data!$L$2:$L$73,MATCH($G85,Weather_Data!$J$2:$J$73,0))</f>
        <v>55</v>
      </c>
      <c r="J85" s="3" t="n">
        <f aca="false">INDEX(Weather_Data!$M$2:$M$73,MATCH($G85,Weather_Data!$J$2:$J$73,0))</f>
        <v>1.8</v>
      </c>
      <c r="K85" s="3" t="n">
        <f aca="false">INDEX(Weather_Data!$P$2:$P$73,MATCH($G85,Weather_Data!$J$2:$J$73,0))</f>
        <v>187.5</v>
      </c>
      <c r="L85" s="3" t="n">
        <f aca="false">INDEX(Weather_Data!$Q$2:$Q$73,MATCH($G85,Weather_Data!$J$2:$J$73,0))</f>
        <v>50</v>
      </c>
      <c r="M85" s="3" t="str">
        <f aca="false">INDEX(Shelter_Design!$I$2:$I$41,MATCH($B85,Shelter_Design!$A$2:$A$41,0))</f>
        <v>M02</v>
      </c>
      <c r="N85" s="3" t="n">
        <f aca="false">IFERROR(INDEX(Material_Properties!$D$2:$D$21,MATCH(M85,Material_Properties!$A$2:$A$21,0)),1)</f>
        <v>0.7</v>
      </c>
      <c r="O85" s="3" t="n">
        <f aca="false">INDEX(Shelter_Design!$M$2:$M$41,MATCH($B85,Shelter_Design!$A$2:$A$41,0))</f>
        <v>230</v>
      </c>
      <c r="P85" s="3" t="str">
        <f aca="false">INDEX(Shelter_Design!$L$2:$L$41,MATCH($B85,Shelter_Design!$A$2:$A$41,0))</f>
        <v>M10</v>
      </c>
      <c r="Q85" s="3" t="n">
        <f aca="false">IF(P85="None",0,IFERROR(INDEX(Material_Properties!$D$2:$D$21,MATCH(P85,Material_Properties!$A$2:$A$21,0)),0))</f>
        <v>0.038</v>
      </c>
      <c r="R85" s="3" t="n">
        <f aca="false">INDEX(Shelter_Design!$O$2:$O$41,MATCH($B85,Shelter_Design!$A$2:$A$41,0))</f>
        <v>50</v>
      </c>
      <c r="S85" s="3" t="n">
        <f aca="false">(O85/1000)/N85</f>
        <v>0.328571428571429</v>
      </c>
      <c r="T85" s="3" t="n">
        <f aca="false">IF(OR(P85="None",Q85=0),0,(R85/1000)/Q85)</f>
        <v>1.31578947368421</v>
      </c>
      <c r="U85" s="3" t="n">
        <v>0.17</v>
      </c>
      <c r="V85" s="3" t="n">
        <f aca="false">S85+T85+U85</f>
        <v>1.81436090225564</v>
      </c>
      <c r="W85" s="3" t="n">
        <f aca="false">1/V85</f>
        <v>0.551158261157847</v>
      </c>
      <c r="X85" s="3" t="n">
        <f aca="false">INDEX(Shelter_Design!$R$2:$R$41,MATCH($B85,Shelter_Design!$A$2:$A$41,0))</f>
        <v>35</v>
      </c>
      <c r="Y85" s="3" t="n">
        <f aca="false">INDEX(Shelter_Design!$P$2:$P$41,MATCH($B85,Shelter_Design!$A$2:$A$41,0))</f>
        <v>1.4</v>
      </c>
      <c r="Z85" s="3" t="n">
        <f aca="false">INDEX(Shelter_Design!$G$2:$G$41,MATCH($B85,Shelter_Design!$A$2:$A$41,0))</f>
        <v>31.85</v>
      </c>
      <c r="AA85" s="3" t="n">
        <f aca="false">INDEX(Shelter_Design!$S$2:$S$41,MATCH($B85,Shelter_Design!$A$2:$A$41,0))</f>
        <v>0.0384615384615385</v>
      </c>
      <c r="AB85" s="3" t="n">
        <f aca="false">INDEX(Shelter_Design!$Y$2:$Y$41,MATCH($B85,Shelter_Design!$A$2:$A$41,0))</f>
        <v>3</v>
      </c>
      <c r="AC85" s="3" t="str">
        <f aca="false">INDEX(Shelter_Design!$Z$2:$Z$41,MATCH($B85,Shelter_Design!$A$2:$A$41,0))</f>
        <v>Light-moderate</v>
      </c>
      <c r="AD85" s="3" t="n">
        <f aca="false">INDEX(Shelter_Design!$AA$2:$AA$41,MATCH($B85,Shelter_Design!$A$2:$A$41,0))</f>
        <v>1</v>
      </c>
      <c r="AE85" s="3" t="s">
        <v>304</v>
      </c>
    </row>
    <row r="86" customFormat="false" ht="15" hidden="false" customHeight="true" outlineLevel="0" collapsed="false">
      <c r="A86" s="3" t="s">
        <v>388</v>
      </c>
      <c r="B86" s="3" t="s">
        <v>265</v>
      </c>
      <c r="C86" s="3" t="s">
        <v>266</v>
      </c>
      <c r="D86" s="3" t="s">
        <v>303</v>
      </c>
      <c r="E86" s="3" t="s">
        <v>55</v>
      </c>
      <c r="F86" s="3" t="s">
        <v>51</v>
      </c>
      <c r="G86" s="3" t="str">
        <f aca="false">E86&amp;"-"&amp;F86</f>
        <v>Srinagar-November</v>
      </c>
      <c r="H86" s="3" t="n">
        <f aca="false">INDEX(Weather_Data!$K$2:$K$73,MATCH($G86,Weather_Data!$J$2:$J$73,0))</f>
        <v>10</v>
      </c>
      <c r="I86" s="3" t="n">
        <f aca="false">INDEX(Weather_Data!$L$2:$L$73,MATCH($G86,Weather_Data!$J$2:$J$73,0))</f>
        <v>50</v>
      </c>
      <c r="J86" s="3" t="n">
        <f aca="false">INDEX(Weather_Data!$M$2:$M$73,MATCH($G86,Weather_Data!$J$2:$J$73,0))</f>
        <v>1.5</v>
      </c>
      <c r="K86" s="3" t="n">
        <f aca="false">INDEX(Weather_Data!$P$2:$P$73,MATCH($G86,Weather_Data!$J$2:$J$73,0))</f>
        <v>125</v>
      </c>
      <c r="L86" s="3" t="n">
        <f aca="false">INDEX(Weather_Data!$Q$2:$Q$73,MATCH($G86,Weather_Data!$J$2:$J$73,0))</f>
        <v>30</v>
      </c>
      <c r="M86" s="3" t="str">
        <f aca="false">INDEX(Shelter_Design!$I$2:$I$41,MATCH($B86,Shelter_Design!$A$2:$A$41,0))</f>
        <v>M02</v>
      </c>
      <c r="N86" s="3" t="n">
        <f aca="false">IFERROR(INDEX(Material_Properties!$D$2:$D$21,MATCH(M86,Material_Properties!$A$2:$A$21,0)),1)</f>
        <v>0.7</v>
      </c>
      <c r="O86" s="3" t="n">
        <f aca="false">INDEX(Shelter_Design!$M$2:$M$41,MATCH($B86,Shelter_Design!$A$2:$A$41,0))</f>
        <v>230</v>
      </c>
      <c r="P86" s="3" t="str">
        <f aca="false">INDEX(Shelter_Design!$L$2:$L$41,MATCH($B86,Shelter_Design!$A$2:$A$41,0))</f>
        <v>M10</v>
      </c>
      <c r="Q86" s="3" t="n">
        <f aca="false">IF(P86="None",0,IFERROR(INDEX(Material_Properties!$D$2:$D$21,MATCH(P86,Material_Properties!$A$2:$A$21,0)),0))</f>
        <v>0.038</v>
      </c>
      <c r="R86" s="3" t="n">
        <f aca="false">INDEX(Shelter_Design!$O$2:$O$41,MATCH($B86,Shelter_Design!$A$2:$A$41,0))</f>
        <v>50</v>
      </c>
      <c r="S86" s="3" t="n">
        <f aca="false">(O86/1000)/N86</f>
        <v>0.328571428571429</v>
      </c>
      <c r="T86" s="3" t="n">
        <f aca="false">IF(OR(P86="None",Q86=0),0,(R86/1000)/Q86)</f>
        <v>1.31578947368421</v>
      </c>
      <c r="U86" s="3" t="n">
        <v>0.17</v>
      </c>
      <c r="V86" s="3" t="n">
        <f aca="false">S86+T86+U86</f>
        <v>1.81436090225564</v>
      </c>
      <c r="W86" s="3" t="n">
        <f aca="false">1/V86</f>
        <v>0.551158261157847</v>
      </c>
      <c r="X86" s="3" t="n">
        <f aca="false">INDEX(Shelter_Design!$R$2:$R$41,MATCH($B86,Shelter_Design!$A$2:$A$41,0))</f>
        <v>35</v>
      </c>
      <c r="Y86" s="3" t="n">
        <f aca="false">INDEX(Shelter_Design!$P$2:$P$41,MATCH($B86,Shelter_Design!$A$2:$A$41,0))</f>
        <v>1.4</v>
      </c>
      <c r="Z86" s="3" t="n">
        <f aca="false">INDEX(Shelter_Design!$G$2:$G$41,MATCH($B86,Shelter_Design!$A$2:$A$41,0))</f>
        <v>31.85</v>
      </c>
      <c r="AA86" s="3" t="n">
        <f aca="false">INDEX(Shelter_Design!$S$2:$S$41,MATCH($B86,Shelter_Design!$A$2:$A$41,0))</f>
        <v>0.0384615384615385</v>
      </c>
      <c r="AB86" s="3" t="n">
        <f aca="false">INDEX(Shelter_Design!$Y$2:$Y$41,MATCH($B86,Shelter_Design!$A$2:$A$41,0))</f>
        <v>3</v>
      </c>
      <c r="AC86" s="3" t="str">
        <f aca="false">INDEX(Shelter_Design!$Z$2:$Z$41,MATCH($B86,Shelter_Design!$A$2:$A$41,0))</f>
        <v>Light-moderate</v>
      </c>
      <c r="AD86" s="3" t="n">
        <f aca="false">INDEX(Shelter_Design!$AA$2:$AA$41,MATCH($B86,Shelter_Design!$A$2:$A$41,0))</f>
        <v>1</v>
      </c>
      <c r="AE86" s="3" t="s">
        <v>304</v>
      </c>
    </row>
    <row r="87" customFormat="false" ht="15" hidden="false" customHeight="true" outlineLevel="0" collapsed="false">
      <c r="A87" s="3" t="s">
        <v>389</v>
      </c>
      <c r="B87" s="3" t="s">
        <v>272</v>
      </c>
      <c r="C87" s="3" t="s">
        <v>266</v>
      </c>
      <c r="D87" s="3" t="s">
        <v>303</v>
      </c>
      <c r="E87" s="3" t="s">
        <v>55</v>
      </c>
      <c r="F87" s="3" t="s">
        <v>22</v>
      </c>
      <c r="G87" s="3" t="str">
        <f aca="false">E87&amp;"-"&amp;F87</f>
        <v>Srinagar-January</v>
      </c>
      <c r="H87" s="3" t="n">
        <f aca="false">INDEX(Weather_Data!$K$2:$K$73,MATCH($G87,Weather_Data!$J$2:$J$73,0))</f>
        <v>3</v>
      </c>
      <c r="I87" s="3" t="n">
        <f aca="false">INDEX(Weather_Data!$L$2:$L$73,MATCH($G87,Weather_Data!$J$2:$J$73,0))</f>
        <v>55</v>
      </c>
      <c r="J87" s="3" t="n">
        <f aca="false">INDEX(Weather_Data!$M$2:$M$73,MATCH($G87,Weather_Data!$J$2:$J$73,0))</f>
        <v>1.5</v>
      </c>
      <c r="K87" s="3" t="n">
        <f aca="false">INDEX(Weather_Data!$P$2:$P$73,MATCH($G87,Weather_Data!$J$2:$J$73,0))</f>
        <v>104.166666666667</v>
      </c>
      <c r="L87" s="3" t="n">
        <f aca="false">INDEX(Weather_Data!$Q$2:$Q$73,MATCH($G87,Weather_Data!$J$2:$J$73,0))</f>
        <v>70</v>
      </c>
      <c r="M87" s="3" t="str">
        <f aca="false">INDEX(Shelter_Design!$I$2:$I$41,MATCH($B87,Shelter_Design!$A$2:$A$41,0))</f>
        <v>M02</v>
      </c>
      <c r="N87" s="3" t="n">
        <f aca="false">IFERROR(INDEX(Material_Properties!$D$2:$D$21,MATCH(M87,Material_Properties!$A$2:$A$21,0)),1)</f>
        <v>0.7</v>
      </c>
      <c r="O87" s="3" t="n">
        <f aca="false">INDEX(Shelter_Design!$M$2:$M$41,MATCH($B87,Shelter_Design!$A$2:$A$41,0))</f>
        <v>230</v>
      </c>
      <c r="P87" s="3" t="str">
        <f aca="false">INDEX(Shelter_Design!$L$2:$L$41,MATCH($B87,Shelter_Design!$A$2:$A$41,0))</f>
        <v>M10</v>
      </c>
      <c r="Q87" s="3" t="n">
        <f aca="false">IF(P87="None",0,IFERROR(INDEX(Material_Properties!$D$2:$D$21,MATCH(P87,Material_Properties!$A$2:$A$21,0)),0))</f>
        <v>0.038</v>
      </c>
      <c r="R87" s="3" t="n">
        <f aca="false">INDEX(Shelter_Design!$O$2:$O$41,MATCH($B87,Shelter_Design!$A$2:$A$41,0))</f>
        <v>50</v>
      </c>
      <c r="S87" s="3" t="n">
        <f aca="false">(O87/1000)/N87</f>
        <v>0.328571428571429</v>
      </c>
      <c r="T87" s="3" t="n">
        <f aca="false">IF(OR(P87="None",Q87=0),0,(R87/1000)/Q87)</f>
        <v>1.31578947368421</v>
      </c>
      <c r="U87" s="3" t="n">
        <v>0.17</v>
      </c>
      <c r="V87" s="3" t="n">
        <f aca="false">S87+T87+U87</f>
        <v>1.81436090225564</v>
      </c>
      <c r="W87" s="3" t="n">
        <f aca="false">1/V87</f>
        <v>0.551158261157847</v>
      </c>
      <c r="X87" s="3" t="n">
        <f aca="false">INDEX(Shelter_Design!$R$2:$R$41,MATCH($B87,Shelter_Design!$A$2:$A$41,0))</f>
        <v>49.3</v>
      </c>
      <c r="Y87" s="3" t="n">
        <f aca="false">INDEX(Shelter_Design!$P$2:$P$41,MATCH($B87,Shelter_Design!$A$2:$A$41,0))</f>
        <v>2</v>
      </c>
      <c r="Z87" s="3" t="n">
        <f aca="false">INDEX(Shelter_Design!$G$2:$G$41,MATCH($B87,Shelter_Design!$A$2:$A$41,0))</f>
        <v>60.75</v>
      </c>
      <c r="AA87" s="3" t="n">
        <f aca="false">INDEX(Shelter_Design!$S$2:$S$41,MATCH($B87,Shelter_Design!$A$2:$A$41,0))</f>
        <v>0.0389863547758285</v>
      </c>
      <c r="AB87" s="3" t="n">
        <f aca="false">INDEX(Shelter_Design!$Y$2:$Y$41,MATCH($B87,Shelter_Design!$A$2:$A$41,0))</f>
        <v>6</v>
      </c>
      <c r="AC87" s="3" t="str">
        <f aca="false">INDEX(Shelter_Design!$Z$2:$Z$41,MATCH($B87,Shelter_Design!$A$2:$A$41,0))</f>
        <v>Light-moderate</v>
      </c>
      <c r="AD87" s="3" t="n">
        <f aca="false">INDEX(Shelter_Design!$AA$2:$AA$41,MATCH($B87,Shelter_Design!$A$2:$A$41,0))</f>
        <v>1</v>
      </c>
      <c r="AE87" s="3" t="s">
        <v>304</v>
      </c>
    </row>
    <row r="88" customFormat="false" ht="15" hidden="false" customHeight="true" outlineLevel="0" collapsed="false">
      <c r="A88" s="3" t="s">
        <v>390</v>
      </c>
      <c r="B88" s="3" t="s">
        <v>272</v>
      </c>
      <c r="C88" s="3" t="s">
        <v>266</v>
      </c>
      <c r="D88" s="3" t="s">
        <v>303</v>
      </c>
      <c r="E88" s="3" t="s">
        <v>55</v>
      </c>
      <c r="F88" s="3" t="s">
        <v>33</v>
      </c>
      <c r="G88" s="3" t="str">
        <f aca="false">E88&amp;"-"&amp;F88</f>
        <v>Srinagar-April</v>
      </c>
      <c r="H88" s="3" t="n">
        <f aca="false">INDEX(Weather_Data!$K$2:$K$73,MATCH($G88,Weather_Data!$J$2:$J$73,0))</f>
        <v>15</v>
      </c>
      <c r="I88" s="3" t="n">
        <f aca="false">INDEX(Weather_Data!$L$2:$L$73,MATCH($G88,Weather_Data!$J$2:$J$73,0))</f>
        <v>50</v>
      </c>
      <c r="J88" s="3" t="n">
        <f aca="false">INDEX(Weather_Data!$M$2:$M$73,MATCH($G88,Weather_Data!$J$2:$J$73,0))</f>
        <v>2.5</v>
      </c>
      <c r="K88" s="3" t="n">
        <f aca="false">INDEX(Weather_Data!$P$2:$P$73,MATCH($G88,Weather_Data!$J$2:$J$73,0))</f>
        <v>208.333333333333</v>
      </c>
      <c r="L88" s="3" t="n">
        <f aca="false">INDEX(Weather_Data!$Q$2:$Q$73,MATCH($G88,Weather_Data!$J$2:$J$73,0))</f>
        <v>90</v>
      </c>
      <c r="M88" s="3" t="str">
        <f aca="false">INDEX(Shelter_Design!$I$2:$I$41,MATCH($B88,Shelter_Design!$A$2:$A$41,0))</f>
        <v>M02</v>
      </c>
      <c r="N88" s="3" t="n">
        <f aca="false">IFERROR(INDEX(Material_Properties!$D$2:$D$21,MATCH(M88,Material_Properties!$A$2:$A$21,0)),1)</f>
        <v>0.7</v>
      </c>
      <c r="O88" s="3" t="n">
        <f aca="false">INDEX(Shelter_Design!$M$2:$M$41,MATCH($B88,Shelter_Design!$A$2:$A$41,0))</f>
        <v>230</v>
      </c>
      <c r="P88" s="3" t="str">
        <f aca="false">INDEX(Shelter_Design!$L$2:$L$41,MATCH($B88,Shelter_Design!$A$2:$A$41,0))</f>
        <v>M10</v>
      </c>
      <c r="Q88" s="3" t="n">
        <f aca="false">IF(P88="None",0,IFERROR(INDEX(Material_Properties!$D$2:$D$21,MATCH(P88,Material_Properties!$A$2:$A$21,0)),0))</f>
        <v>0.038</v>
      </c>
      <c r="R88" s="3" t="n">
        <f aca="false">INDEX(Shelter_Design!$O$2:$O$41,MATCH($B88,Shelter_Design!$A$2:$A$41,0))</f>
        <v>50</v>
      </c>
      <c r="S88" s="3" t="n">
        <f aca="false">(O88/1000)/N88</f>
        <v>0.328571428571429</v>
      </c>
      <c r="T88" s="3" t="n">
        <f aca="false">IF(OR(P88="None",Q88=0),0,(R88/1000)/Q88)</f>
        <v>1.31578947368421</v>
      </c>
      <c r="U88" s="3" t="n">
        <v>0.17</v>
      </c>
      <c r="V88" s="3" t="n">
        <f aca="false">S88+T88+U88</f>
        <v>1.81436090225564</v>
      </c>
      <c r="W88" s="3" t="n">
        <f aca="false">1/V88</f>
        <v>0.551158261157847</v>
      </c>
      <c r="X88" s="3" t="n">
        <f aca="false">INDEX(Shelter_Design!$R$2:$R$41,MATCH($B88,Shelter_Design!$A$2:$A$41,0))</f>
        <v>49.3</v>
      </c>
      <c r="Y88" s="3" t="n">
        <f aca="false">INDEX(Shelter_Design!$P$2:$P$41,MATCH($B88,Shelter_Design!$A$2:$A$41,0))</f>
        <v>2</v>
      </c>
      <c r="Z88" s="3" t="n">
        <f aca="false">INDEX(Shelter_Design!$G$2:$G$41,MATCH($B88,Shelter_Design!$A$2:$A$41,0))</f>
        <v>60.75</v>
      </c>
      <c r="AA88" s="3" t="n">
        <f aca="false">INDEX(Shelter_Design!$S$2:$S$41,MATCH($B88,Shelter_Design!$A$2:$A$41,0))</f>
        <v>0.0389863547758285</v>
      </c>
      <c r="AB88" s="3" t="n">
        <f aca="false">INDEX(Shelter_Design!$Y$2:$Y$41,MATCH($B88,Shelter_Design!$A$2:$A$41,0))</f>
        <v>6</v>
      </c>
      <c r="AC88" s="3" t="str">
        <f aca="false">INDEX(Shelter_Design!$Z$2:$Z$41,MATCH($B88,Shelter_Design!$A$2:$A$41,0))</f>
        <v>Light-moderate</v>
      </c>
      <c r="AD88" s="3" t="n">
        <f aca="false">INDEX(Shelter_Design!$AA$2:$AA$41,MATCH($B88,Shelter_Design!$A$2:$A$41,0))</f>
        <v>1</v>
      </c>
      <c r="AE88" s="3" t="s">
        <v>304</v>
      </c>
    </row>
    <row r="89" customFormat="false" ht="15" hidden="false" customHeight="true" outlineLevel="0" collapsed="false">
      <c r="A89" s="3" t="s">
        <v>391</v>
      </c>
      <c r="B89" s="3" t="s">
        <v>272</v>
      </c>
      <c r="C89" s="3" t="s">
        <v>266</v>
      </c>
      <c r="D89" s="3" t="s">
        <v>303</v>
      </c>
      <c r="E89" s="3" t="s">
        <v>55</v>
      </c>
      <c r="F89" s="3" t="s">
        <v>42</v>
      </c>
      <c r="G89" s="3" t="str">
        <f aca="false">E89&amp;"-"&amp;F89</f>
        <v>Srinagar-July</v>
      </c>
      <c r="H89" s="3" t="n">
        <f aca="false">INDEX(Weather_Data!$K$2:$K$73,MATCH($G89,Weather_Data!$J$2:$J$73,0))</f>
        <v>26</v>
      </c>
      <c r="I89" s="3" t="n">
        <f aca="false">INDEX(Weather_Data!$L$2:$L$73,MATCH($G89,Weather_Data!$J$2:$J$73,0))</f>
        <v>60</v>
      </c>
      <c r="J89" s="3" t="n">
        <f aca="false">INDEX(Weather_Data!$M$2:$M$73,MATCH($G89,Weather_Data!$J$2:$J$73,0))</f>
        <v>1.8</v>
      </c>
      <c r="K89" s="3" t="n">
        <f aca="false">INDEX(Weather_Data!$P$2:$P$73,MATCH($G89,Weather_Data!$J$2:$J$73,0))</f>
        <v>208.333333333333</v>
      </c>
      <c r="L89" s="3" t="n">
        <f aca="false">INDEX(Weather_Data!$Q$2:$Q$73,MATCH($G89,Weather_Data!$J$2:$J$73,0))</f>
        <v>60</v>
      </c>
      <c r="M89" s="3" t="str">
        <f aca="false">INDEX(Shelter_Design!$I$2:$I$41,MATCH($B89,Shelter_Design!$A$2:$A$41,0))</f>
        <v>M02</v>
      </c>
      <c r="N89" s="3" t="n">
        <f aca="false">IFERROR(INDEX(Material_Properties!$D$2:$D$21,MATCH(M89,Material_Properties!$A$2:$A$21,0)),1)</f>
        <v>0.7</v>
      </c>
      <c r="O89" s="3" t="n">
        <f aca="false">INDEX(Shelter_Design!$M$2:$M$41,MATCH($B89,Shelter_Design!$A$2:$A$41,0))</f>
        <v>230</v>
      </c>
      <c r="P89" s="3" t="str">
        <f aca="false">INDEX(Shelter_Design!$L$2:$L$41,MATCH($B89,Shelter_Design!$A$2:$A$41,0))</f>
        <v>M10</v>
      </c>
      <c r="Q89" s="3" t="n">
        <f aca="false">IF(P89="None",0,IFERROR(INDEX(Material_Properties!$D$2:$D$21,MATCH(P89,Material_Properties!$A$2:$A$21,0)),0))</f>
        <v>0.038</v>
      </c>
      <c r="R89" s="3" t="n">
        <f aca="false">INDEX(Shelter_Design!$O$2:$O$41,MATCH($B89,Shelter_Design!$A$2:$A$41,0))</f>
        <v>50</v>
      </c>
      <c r="S89" s="3" t="n">
        <f aca="false">(O89/1000)/N89</f>
        <v>0.328571428571429</v>
      </c>
      <c r="T89" s="3" t="n">
        <f aca="false">IF(OR(P89="None",Q89=0),0,(R89/1000)/Q89)</f>
        <v>1.31578947368421</v>
      </c>
      <c r="U89" s="3" t="n">
        <v>0.17</v>
      </c>
      <c r="V89" s="3" t="n">
        <f aca="false">S89+T89+U89</f>
        <v>1.81436090225564</v>
      </c>
      <c r="W89" s="3" t="n">
        <f aca="false">1/V89</f>
        <v>0.551158261157847</v>
      </c>
      <c r="X89" s="3" t="n">
        <f aca="false">INDEX(Shelter_Design!$R$2:$R$41,MATCH($B89,Shelter_Design!$A$2:$A$41,0))</f>
        <v>49.3</v>
      </c>
      <c r="Y89" s="3" t="n">
        <f aca="false">INDEX(Shelter_Design!$P$2:$P$41,MATCH($B89,Shelter_Design!$A$2:$A$41,0))</f>
        <v>2</v>
      </c>
      <c r="Z89" s="3" t="n">
        <f aca="false">INDEX(Shelter_Design!$G$2:$G$41,MATCH($B89,Shelter_Design!$A$2:$A$41,0))</f>
        <v>60.75</v>
      </c>
      <c r="AA89" s="3" t="n">
        <f aca="false">INDEX(Shelter_Design!$S$2:$S$41,MATCH($B89,Shelter_Design!$A$2:$A$41,0))</f>
        <v>0.0389863547758285</v>
      </c>
      <c r="AB89" s="3" t="n">
        <f aca="false">INDEX(Shelter_Design!$Y$2:$Y$41,MATCH($B89,Shelter_Design!$A$2:$A$41,0))</f>
        <v>6</v>
      </c>
      <c r="AC89" s="3" t="str">
        <f aca="false">INDEX(Shelter_Design!$Z$2:$Z$41,MATCH($B89,Shelter_Design!$A$2:$A$41,0))</f>
        <v>Light-moderate</v>
      </c>
      <c r="AD89" s="3" t="n">
        <f aca="false">INDEX(Shelter_Design!$AA$2:$AA$41,MATCH($B89,Shelter_Design!$A$2:$A$41,0))</f>
        <v>1</v>
      </c>
      <c r="AE89" s="3" t="s">
        <v>304</v>
      </c>
    </row>
    <row r="90" customFormat="false" ht="15" hidden="false" customHeight="true" outlineLevel="0" collapsed="false">
      <c r="A90" s="3" t="s">
        <v>392</v>
      </c>
      <c r="B90" s="3" t="s">
        <v>272</v>
      </c>
      <c r="C90" s="3" t="s">
        <v>266</v>
      </c>
      <c r="D90" s="3" t="s">
        <v>303</v>
      </c>
      <c r="E90" s="3" t="s">
        <v>55</v>
      </c>
      <c r="F90" s="3" t="s">
        <v>46</v>
      </c>
      <c r="G90" s="3" t="str">
        <f aca="false">E90&amp;"-"&amp;F90</f>
        <v>Srinagar-September</v>
      </c>
      <c r="H90" s="3" t="n">
        <f aca="false">INDEX(Weather_Data!$K$2:$K$73,MATCH($G90,Weather_Data!$J$2:$J$73,0))</f>
        <v>22</v>
      </c>
      <c r="I90" s="3" t="n">
        <f aca="false">INDEX(Weather_Data!$L$2:$L$73,MATCH($G90,Weather_Data!$J$2:$J$73,0))</f>
        <v>55</v>
      </c>
      <c r="J90" s="3" t="n">
        <f aca="false">INDEX(Weather_Data!$M$2:$M$73,MATCH($G90,Weather_Data!$J$2:$J$73,0))</f>
        <v>1.8</v>
      </c>
      <c r="K90" s="3" t="n">
        <f aca="false">INDEX(Weather_Data!$P$2:$P$73,MATCH($G90,Weather_Data!$J$2:$J$73,0))</f>
        <v>187.5</v>
      </c>
      <c r="L90" s="3" t="n">
        <f aca="false">INDEX(Weather_Data!$Q$2:$Q$73,MATCH($G90,Weather_Data!$J$2:$J$73,0))</f>
        <v>50</v>
      </c>
      <c r="M90" s="3" t="str">
        <f aca="false">INDEX(Shelter_Design!$I$2:$I$41,MATCH($B90,Shelter_Design!$A$2:$A$41,0))</f>
        <v>M02</v>
      </c>
      <c r="N90" s="3" t="n">
        <f aca="false">IFERROR(INDEX(Material_Properties!$D$2:$D$21,MATCH(M90,Material_Properties!$A$2:$A$21,0)),1)</f>
        <v>0.7</v>
      </c>
      <c r="O90" s="3" t="n">
        <f aca="false">INDEX(Shelter_Design!$M$2:$M$41,MATCH($B90,Shelter_Design!$A$2:$A$41,0))</f>
        <v>230</v>
      </c>
      <c r="P90" s="3" t="str">
        <f aca="false">INDEX(Shelter_Design!$L$2:$L$41,MATCH($B90,Shelter_Design!$A$2:$A$41,0))</f>
        <v>M10</v>
      </c>
      <c r="Q90" s="3" t="n">
        <f aca="false">IF(P90="None",0,IFERROR(INDEX(Material_Properties!$D$2:$D$21,MATCH(P90,Material_Properties!$A$2:$A$21,0)),0))</f>
        <v>0.038</v>
      </c>
      <c r="R90" s="3" t="n">
        <f aca="false">INDEX(Shelter_Design!$O$2:$O$41,MATCH($B90,Shelter_Design!$A$2:$A$41,0))</f>
        <v>50</v>
      </c>
      <c r="S90" s="3" t="n">
        <f aca="false">(O90/1000)/N90</f>
        <v>0.328571428571429</v>
      </c>
      <c r="T90" s="3" t="n">
        <f aca="false">IF(OR(P90="None",Q90=0),0,(R90/1000)/Q90)</f>
        <v>1.31578947368421</v>
      </c>
      <c r="U90" s="3" t="n">
        <v>0.17</v>
      </c>
      <c r="V90" s="3" t="n">
        <f aca="false">S90+T90+U90</f>
        <v>1.81436090225564</v>
      </c>
      <c r="W90" s="3" t="n">
        <f aca="false">1/V90</f>
        <v>0.551158261157847</v>
      </c>
      <c r="X90" s="3" t="n">
        <f aca="false">INDEX(Shelter_Design!$R$2:$R$41,MATCH($B90,Shelter_Design!$A$2:$A$41,0))</f>
        <v>49.3</v>
      </c>
      <c r="Y90" s="3" t="n">
        <f aca="false">INDEX(Shelter_Design!$P$2:$P$41,MATCH($B90,Shelter_Design!$A$2:$A$41,0))</f>
        <v>2</v>
      </c>
      <c r="Z90" s="3" t="n">
        <f aca="false">INDEX(Shelter_Design!$G$2:$G$41,MATCH($B90,Shelter_Design!$A$2:$A$41,0))</f>
        <v>60.75</v>
      </c>
      <c r="AA90" s="3" t="n">
        <f aca="false">INDEX(Shelter_Design!$S$2:$S$41,MATCH($B90,Shelter_Design!$A$2:$A$41,0))</f>
        <v>0.0389863547758285</v>
      </c>
      <c r="AB90" s="3" t="n">
        <f aca="false">INDEX(Shelter_Design!$Y$2:$Y$41,MATCH($B90,Shelter_Design!$A$2:$A$41,0))</f>
        <v>6</v>
      </c>
      <c r="AC90" s="3" t="str">
        <f aca="false">INDEX(Shelter_Design!$Z$2:$Z$41,MATCH($B90,Shelter_Design!$A$2:$A$41,0))</f>
        <v>Light-moderate</v>
      </c>
      <c r="AD90" s="3" t="n">
        <f aca="false">INDEX(Shelter_Design!$AA$2:$AA$41,MATCH($B90,Shelter_Design!$A$2:$A$41,0))</f>
        <v>1</v>
      </c>
      <c r="AE90" s="3" t="s">
        <v>304</v>
      </c>
    </row>
    <row r="91" customFormat="false" ht="15" hidden="false" customHeight="true" outlineLevel="0" collapsed="false">
      <c r="A91" s="3" t="s">
        <v>393</v>
      </c>
      <c r="B91" s="3" t="s">
        <v>272</v>
      </c>
      <c r="C91" s="3" t="s">
        <v>266</v>
      </c>
      <c r="D91" s="3" t="s">
        <v>303</v>
      </c>
      <c r="E91" s="3" t="s">
        <v>55</v>
      </c>
      <c r="F91" s="3" t="s">
        <v>51</v>
      </c>
      <c r="G91" s="3" t="str">
        <f aca="false">E91&amp;"-"&amp;F91</f>
        <v>Srinagar-November</v>
      </c>
      <c r="H91" s="3" t="n">
        <f aca="false">INDEX(Weather_Data!$K$2:$K$73,MATCH($G91,Weather_Data!$J$2:$J$73,0))</f>
        <v>10</v>
      </c>
      <c r="I91" s="3" t="n">
        <f aca="false">INDEX(Weather_Data!$L$2:$L$73,MATCH($G91,Weather_Data!$J$2:$J$73,0))</f>
        <v>50</v>
      </c>
      <c r="J91" s="3" t="n">
        <f aca="false">INDEX(Weather_Data!$M$2:$M$73,MATCH($G91,Weather_Data!$J$2:$J$73,0))</f>
        <v>1.5</v>
      </c>
      <c r="K91" s="3" t="n">
        <f aca="false">INDEX(Weather_Data!$P$2:$P$73,MATCH($G91,Weather_Data!$J$2:$J$73,0))</f>
        <v>125</v>
      </c>
      <c r="L91" s="3" t="n">
        <f aca="false">INDEX(Weather_Data!$Q$2:$Q$73,MATCH($G91,Weather_Data!$J$2:$J$73,0))</f>
        <v>30</v>
      </c>
      <c r="M91" s="3" t="str">
        <f aca="false">INDEX(Shelter_Design!$I$2:$I$41,MATCH($B91,Shelter_Design!$A$2:$A$41,0))</f>
        <v>M02</v>
      </c>
      <c r="N91" s="3" t="n">
        <f aca="false">IFERROR(INDEX(Material_Properties!$D$2:$D$21,MATCH(M91,Material_Properties!$A$2:$A$21,0)),1)</f>
        <v>0.7</v>
      </c>
      <c r="O91" s="3" t="n">
        <f aca="false">INDEX(Shelter_Design!$M$2:$M$41,MATCH($B91,Shelter_Design!$A$2:$A$41,0))</f>
        <v>230</v>
      </c>
      <c r="P91" s="3" t="str">
        <f aca="false">INDEX(Shelter_Design!$L$2:$L$41,MATCH($B91,Shelter_Design!$A$2:$A$41,0))</f>
        <v>M10</v>
      </c>
      <c r="Q91" s="3" t="n">
        <f aca="false">IF(P91="None",0,IFERROR(INDEX(Material_Properties!$D$2:$D$21,MATCH(P91,Material_Properties!$A$2:$A$21,0)),0))</f>
        <v>0.038</v>
      </c>
      <c r="R91" s="3" t="n">
        <f aca="false">INDEX(Shelter_Design!$O$2:$O$41,MATCH($B91,Shelter_Design!$A$2:$A$41,0))</f>
        <v>50</v>
      </c>
      <c r="S91" s="3" t="n">
        <f aca="false">(O91/1000)/N91</f>
        <v>0.328571428571429</v>
      </c>
      <c r="T91" s="3" t="n">
        <f aca="false">IF(OR(P91="None",Q91=0),0,(R91/1000)/Q91)</f>
        <v>1.31578947368421</v>
      </c>
      <c r="U91" s="3" t="n">
        <v>0.17</v>
      </c>
      <c r="V91" s="3" t="n">
        <f aca="false">S91+T91+U91</f>
        <v>1.81436090225564</v>
      </c>
      <c r="W91" s="3" t="n">
        <f aca="false">1/V91</f>
        <v>0.551158261157847</v>
      </c>
      <c r="X91" s="3" t="n">
        <f aca="false">INDEX(Shelter_Design!$R$2:$R$41,MATCH($B91,Shelter_Design!$A$2:$A$41,0))</f>
        <v>49.3</v>
      </c>
      <c r="Y91" s="3" t="n">
        <f aca="false">INDEX(Shelter_Design!$P$2:$P$41,MATCH($B91,Shelter_Design!$A$2:$A$41,0))</f>
        <v>2</v>
      </c>
      <c r="Z91" s="3" t="n">
        <f aca="false">INDEX(Shelter_Design!$G$2:$G$41,MATCH($B91,Shelter_Design!$A$2:$A$41,0))</f>
        <v>60.75</v>
      </c>
      <c r="AA91" s="3" t="n">
        <f aca="false">INDEX(Shelter_Design!$S$2:$S$41,MATCH($B91,Shelter_Design!$A$2:$A$41,0))</f>
        <v>0.0389863547758285</v>
      </c>
      <c r="AB91" s="3" t="n">
        <f aca="false">INDEX(Shelter_Design!$Y$2:$Y$41,MATCH($B91,Shelter_Design!$A$2:$A$41,0))</f>
        <v>6</v>
      </c>
      <c r="AC91" s="3" t="str">
        <f aca="false">INDEX(Shelter_Design!$Z$2:$Z$41,MATCH($B91,Shelter_Design!$A$2:$A$41,0))</f>
        <v>Light-moderate</v>
      </c>
      <c r="AD91" s="3" t="n">
        <f aca="false">INDEX(Shelter_Design!$AA$2:$AA$41,MATCH($B91,Shelter_Design!$A$2:$A$41,0))</f>
        <v>1</v>
      </c>
      <c r="AE91" s="3" t="s">
        <v>304</v>
      </c>
    </row>
    <row r="92" customFormat="false" ht="15" hidden="false" customHeight="true" outlineLevel="0" collapsed="false">
      <c r="A92" s="3" t="s">
        <v>394</v>
      </c>
      <c r="B92" s="3" t="s">
        <v>273</v>
      </c>
      <c r="C92" s="3" t="s">
        <v>266</v>
      </c>
      <c r="D92" s="3" t="s">
        <v>303</v>
      </c>
      <c r="E92" s="3" t="s">
        <v>55</v>
      </c>
      <c r="F92" s="3" t="s">
        <v>22</v>
      </c>
      <c r="G92" s="3" t="str">
        <f aca="false">E92&amp;"-"&amp;F92</f>
        <v>Srinagar-January</v>
      </c>
      <c r="H92" s="3" t="n">
        <f aca="false">INDEX(Weather_Data!$K$2:$K$73,MATCH($G92,Weather_Data!$J$2:$J$73,0))</f>
        <v>3</v>
      </c>
      <c r="I92" s="3" t="n">
        <f aca="false">INDEX(Weather_Data!$L$2:$L$73,MATCH($G92,Weather_Data!$J$2:$J$73,0))</f>
        <v>55</v>
      </c>
      <c r="J92" s="3" t="n">
        <f aca="false">INDEX(Weather_Data!$M$2:$M$73,MATCH($G92,Weather_Data!$J$2:$J$73,0))</f>
        <v>1.5</v>
      </c>
      <c r="K92" s="3" t="n">
        <f aca="false">INDEX(Weather_Data!$P$2:$P$73,MATCH($G92,Weather_Data!$J$2:$J$73,0))</f>
        <v>104.166666666667</v>
      </c>
      <c r="L92" s="3" t="n">
        <f aca="false">INDEX(Weather_Data!$Q$2:$Q$73,MATCH($G92,Weather_Data!$J$2:$J$73,0))</f>
        <v>70</v>
      </c>
      <c r="M92" s="3" t="str">
        <f aca="false">INDEX(Shelter_Design!$I$2:$I$41,MATCH($B92,Shelter_Design!$A$2:$A$41,0))</f>
        <v>M02</v>
      </c>
      <c r="N92" s="3" t="n">
        <f aca="false">IFERROR(INDEX(Material_Properties!$D$2:$D$21,MATCH(M92,Material_Properties!$A$2:$A$21,0)),1)</f>
        <v>0.7</v>
      </c>
      <c r="O92" s="3" t="n">
        <f aca="false">INDEX(Shelter_Design!$M$2:$M$41,MATCH($B92,Shelter_Design!$A$2:$A$41,0))</f>
        <v>230</v>
      </c>
      <c r="P92" s="3" t="str">
        <f aca="false">INDEX(Shelter_Design!$L$2:$L$41,MATCH($B92,Shelter_Design!$A$2:$A$41,0))</f>
        <v>M10</v>
      </c>
      <c r="Q92" s="3" t="n">
        <f aca="false">IF(P92="None",0,IFERROR(INDEX(Material_Properties!$D$2:$D$21,MATCH(P92,Material_Properties!$A$2:$A$21,0)),0))</f>
        <v>0.038</v>
      </c>
      <c r="R92" s="3" t="n">
        <f aca="false">INDEX(Shelter_Design!$O$2:$O$41,MATCH($B92,Shelter_Design!$A$2:$A$41,0))</f>
        <v>100</v>
      </c>
      <c r="S92" s="3" t="n">
        <f aca="false">(O92/1000)/N92</f>
        <v>0.328571428571429</v>
      </c>
      <c r="T92" s="3" t="n">
        <f aca="false">IF(OR(P92="None",Q92=0),0,(R92/1000)/Q92)</f>
        <v>2.63157894736842</v>
      </c>
      <c r="U92" s="3" t="n">
        <v>0.17</v>
      </c>
      <c r="V92" s="3" t="n">
        <f aca="false">S92+T92+U92</f>
        <v>3.13015037593985</v>
      </c>
      <c r="W92" s="3" t="n">
        <f aca="false">1/V92</f>
        <v>0.319473469289712</v>
      </c>
      <c r="X92" s="3" t="n">
        <f aca="false">INDEX(Shelter_Design!$R$2:$R$41,MATCH($B92,Shelter_Design!$A$2:$A$41,0))</f>
        <v>35</v>
      </c>
      <c r="Y92" s="3" t="n">
        <f aca="false">INDEX(Shelter_Design!$P$2:$P$41,MATCH($B92,Shelter_Design!$A$2:$A$41,0))</f>
        <v>1.4</v>
      </c>
      <c r="Z92" s="3" t="n">
        <f aca="false">INDEX(Shelter_Design!$G$2:$G$41,MATCH($B92,Shelter_Design!$A$2:$A$41,0))</f>
        <v>31.85</v>
      </c>
      <c r="AA92" s="3" t="n">
        <f aca="false">INDEX(Shelter_Design!$S$2:$S$41,MATCH($B92,Shelter_Design!$A$2:$A$41,0))</f>
        <v>0.0384615384615385</v>
      </c>
      <c r="AB92" s="3" t="n">
        <f aca="false">INDEX(Shelter_Design!$Y$2:$Y$41,MATCH($B92,Shelter_Design!$A$2:$A$41,0))</f>
        <v>3</v>
      </c>
      <c r="AC92" s="3" t="str">
        <f aca="false">INDEX(Shelter_Design!$Z$2:$Z$41,MATCH($B92,Shelter_Design!$A$2:$A$41,0))</f>
        <v>Light-moderate</v>
      </c>
      <c r="AD92" s="3" t="n">
        <f aca="false">INDEX(Shelter_Design!$AA$2:$AA$41,MATCH($B92,Shelter_Design!$A$2:$A$41,0))</f>
        <v>1</v>
      </c>
      <c r="AE92" s="3" t="s">
        <v>304</v>
      </c>
    </row>
    <row r="93" customFormat="false" ht="15" hidden="false" customHeight="true" outlineLevel="0" collapsed="false">
      <c r="A93" s="3" t="s">
        <v>395</v>
      </c>
      <c r="B93" s="3" t="s">
        <v>273</v>
      </c>
      <c r="C93" s="3" t="s">
        <v>266</v>
      </c>
      <c r="D93" s="3" t="s">
        <v>303</v>
      </c>
      <c r="E93" s="3" t="s">
        <v>55</v>
      </c>
      <c r="F93" s="3" t="s">
        <v>33</v>
      </c>
      <c r="G93" s="3" t="str">
        <f aca="false">E93&amp;"-"&amp;F93</f>
        <v>Srinagar-April</v>
      </c>
      <c r="H93" s="3" t="n">
        <f aca="false">INDEX(Weather_Data!$K$2:$K$73,MATCH($G93,Weather_Data!$J$2:$J$73,0))</f>
        <v>15</v>
      </c>
      <c r="I93" s="3" t="n">
        <f aca="false">INDEX(Weather_Data!$L$2:$L$73,MATCH($G93,Weather_Data!$J$2:$J$73,0))</f>
        <v>50</v>
      </c>
      <c r="J93" s="3" t="n">
        <f aca="false">INDEX(Weather_Data!$M$2:$M$73,MATCH($G93,Weather_Data!$J$2:$J$73,0))</f>
        <v>2.5</v>
      </c>
      <c r="K93" s="3" t="n">
        <f aca="false">INDEX(Weather_Data!$P$2:$P$73,MATCH($G93,Weather_Data!$J$2:$J$73,0))</f>
        <v>208.333333333333</v>
      </c>
      <c r="L93" s="3" t="n">
        <f aca="false">INDEX(Weather_Data!$Q$2:$Q$73,MATCH($G93,Weather_Data!$J$2:$J$73,0))</f>
        <v>90</v>
      </c>
      <c r="M93" s="3" t="str">
        <f aca="false">INDEX(Shelter_Design!$I$2:$I$41,MATCH($B93,Shelter_Design!$A$2:$A$41,0))</f>
        <v>M02</v>
      </c>
      <c r="N93" s="3" t="n">
        <f aca="false">IFERROR(INDEX(Material_Properties!$D$2:$D$21,MATCH(M93,Material_Properties!$A$2:$A$21,0)),1)</f>
        <v>0.7</v>
      </c>
      <c r="O93" s="3" t="n">
        <f aca="false">INDEX(Shelter_Design!$M$2:$M$41,MATCH($B93,Shelter_Design!$A$2:$A$41,0))</f>
        <v>230</v>
      </c>
      <c r="P93" s="3" t="str">
        <f aca="false">INDEX(Shelter_Design!$L$2:$L$41,MATCH($B93,Shelter_Design!$A$2:$A$41,0))</f>
        <v>M10</v>
      </c>
      <c r="Q93" s="3" t="n">
        <f aca="false">IF(P93="None",0,IFERROR(INDEX(Material_Properties!$D$2:$D$21,MATCH(P93,Material_Properties!$A$2:$A$21,0)),0))</f>
        <v>0.038</v>
      </c>
      <c r="R93" s="3" t="n">
        <f aca="false">INDEX(Shelter_Design!$O$2:$O$41,MATCH($B93,Shelter_Design!$A$2:$A$41,0))</f>
        <v>100</v>
      </c>
      <c r="S93" s="3" t="n">
        <f aca="false">(O93/1000)/N93</f>
        <v>0.328571428571429</v>
      </c>
      <c r="T93" s="3" t="n">
        <f aca="false">IF(OR(P93="None",Q93=0),0,(R93/1000)/Q93)</f>
        <v>2.63157894736842</v>
      </c>
      <c r="U93" s="3" t="n">
        <v>0.17</v>
      </c>
      <c r="V93" s="3" t="n">
        <f aca="false">S93+T93+U93</f>
        <v>3.13015037593985</v>
      </c>
      <c r="W93" s="3" t="n">
        <f aca="false">1/V93</f>
        <v>0.319473469289712</v>
      </c>
      <c r="X93" s="3" t="n">
        <f aca="false">INDEX(Shelter_Design!$R$2:$R$41,MATCH($B93,Shelter_Design!$A$2:$A$41,0))</f>
        <v>35</v>
      </c>
      <c r="Y93" s="3" t="n">
        <f aca="false">INDEX(Shelter_Design!$P$2:$P$41,MATCH($B93,Shelter_Design!$A$2:$A$41,0))</f>
        <v>1.4</v>
      </c>
      <c r="Z93" s="3" t="n">
        <f aca="false">INDEX(Shelter_Design!$G$2:$G$41,MATCH($B93,Shelter_Design!$A$2:$A$41,0))</f>
        <v>31.85</v>
      </c>
      <c r="AA93" s="3" t="n">
        <f aca="false">INDEX(Shelter_Design!$S$2:$S$41,MATCH($B93,Shelter_Design!$A$2:$A$41,0))</f>
        <v>0.0384615384615385</v>
      </c>
      <c r="AB93" s="3" t="n">
        <f aca="false">INDEX(Shelter_Design!$Y$2:$Y$41,MATCH($B93,Shelter_Design!$A$2:$A$41,0))</f>
        <v>3</v>
      </c>
      <c r="AC93" s="3" t="str">
        <f aca="false">INDEX(Shelter_Design!$Z$2:$Z$41,MATCH($B93,Shelter_Design!$A$2:$A$41,0))</f>
        <v>Light-moderate</v>
      </c>
      <c r="AD93" s="3" t="n">
        <f aca="false">INDEX(Shelter_Design!$AA$2:$AA$41,MATCH($B93,Shelter_Design!$A$2:$A$41,0))</f>
        <v>1</v>
      </c>
      <c r="AE93" s="3" t="s">
        <v>304</v>
      </c>
    </row>
    <row r="94" customFormat="false" ht="15" hidden="false" customHeight="true" outlineLevel="0" collapsed="false">
      <c r="A94" s="3" t="s">
        <v>396</v>
      </c>
      <c r="B94" s="3" t="s">
        <v>273</v>
      </c>
      <c r="C94" s="3" t="s">
        <v>266</v>
      </c>
      <c r="D94" s="3" t="s">
        <v>303</v>
      </c>
      <c r="E94" s="3" t="s">
        <v>55</v>
      </c>
      <c r="F94" s="3" t="s">
        <v>42</v>
      </c>
      <c r="G94" s="3" t="str">
        <f aca="false">E94&amp;"-"&amp;F94</f>
        <v>Srinagar-July</v>
      </c>
      <c r="H94" s="3" t="n">
        <f aca="false">INDEX(Weather_Data!$K$2:$K$73,MATCH($G94,Weather_Data!$J$2:$J$73,0))</f>
        <v>26</v>
      </c>
      <c r="I94" s="3" t="n">
        <f aca="false">INDEX(Weather_Data!$L$2:$L$73,MATCH($G94,Weather_Data!$J$2:$J$73,0))</f>
        <v>60</v>
      </c>
      <c r="J94" s="3" t="n">
        <f aca="false">INDEX(Weather_Data!$M$2:$M$73,MATCH($G94,Weather_Data!$J$2:$J$73,0))</f>
        <v>1.8</v>
      </c>
      <c r="K94" s="3" t="n">
        <f aca="false">INDEX(Weather_Data!$P$2:$P$73,MATCH($G94,Weather_Data!$J$2:$J$73,0))</f>
        <v>208.333333333333</v>
      </c>
      <c r="L94" s="3" t="n">
        <f aca="false">INDEX(Weather_Data!$Q$2:$Q$73,MATCH($G94,Weather_Data!$J$2:$J$73,0))</f>
        <v>60</v>
      </c>
      <c r="M94" s="3" t="str">
        <f aca="false">INDEX(Shelter_Design!$I$2:$I$41,MATCH($B94,Shelter_Design!$A$2:$A$41,0))</f>
        <v>M02</v>
      </c>
      <c r="N94" s="3" t="n">
        <f aca="false">IFERROR(INDEX(Material_Properties!$D$2:$D$21,MATCH(M94,Material_Properties!$A$2:$A$21,0)),1)</f>
        <v>0.7</v>
      </c>
      <c r="O94" s="3" t="n">
        <f aca="false">INDEX(Shelter_Design!$M$2:$M$41,MATCH($B94,Shelter_Design!$A$2:$A$41,0))</f>
        <v>230</v>
      </c>
      <c r="P94" s="3" t="str">
        <f aca="false">INDEX(Shelter_Design!$L$2:$L$41,MATCH($B94,Shelter_Design!$A$2:$A$41,0))</f>
        <v>M10</v>
      </c>
      <c r="Q94" s="3" t="n">
        <f aca="false">IF(P94="None",0,IFERROR(INDEX(Material_Properties!$D$2:$D$21,MATCH(P94,Material_Properties!$A$2:$A$21,0)),0))</f>
        <v>0.038</v>
      </c>
      <c r="R94" s="3" t="n">
        <f aca="false">INDEX(Shelter_Design!$O$2:$O$41,MATCH($B94,Shelter_Design!$A$2:$A$41,0))</f>
        <v>100</v>
      </c>
      <c r="S94" s="3" t="n">
        <f aca="false">(O94/1000)/N94</f>
        <v>0.328571428571429</v>
      </c>
      <c r="T94" s="3" t="n">
        <f aca="false">IF(OR(P94="None",Q94=0),0,(R94/1000)/Q94)</f>
        <v>2.63157894736842</v>
      </c>
      <c r="U94" s="3" t="n">
        <v>0.17</v>
      </c>
      <c r="V94" s="3" t="n">
        <f aca="false">S94+T94+U94</f>
        <v>3.13015037593985</v>
      </c>
      <c r="W94" s="3" t="n">
        <f aca="false">1/V94</f>
        <v>0.319473469289712</v>
      </c>
      <c r="X94" s="3" t="n">
        <f aca="false">INDEX(Shelter_Design!$R$2:$R$41,MATCH($B94,Shelter_Design!$A$2:$A$41,0))</f>
        <v>35</v>
      </c>
      <c r="Y94" s="3" t="n">
        <f aca="false">INDEX(Shelter_Design!$P$2:$P$41,MATCH($B94,Shelter_Design!$A$2:$A$41,0))</f>
        <v>1.4</v>
      </c>
      <c r="Z94" s="3" t="n">
        <f aca="false">INDEX(Shelter_Design!$G$2:$G$41,MATCH($B94,Shelter_Design!$A$2:$A$41,0))</f>
        <v>31.85</v>
      </c>
      <c r="AA94" s="3" t="n">
        <f aca="false">INDEX(Shelter_Design!$S$2:$S$41,MATCH($B94,Shelter_Design!$A$2:$A$41,0))</f>
        <v>0.0384615384615385</v>
      </c>
      <c r="AB94" s="3" t="n">
        <f aca="false">INDEX(Shelter_Design!$Y$2:$Y$41,MATCH($B94,Shelter_Design!$A$2:$A$41,0))</f>
        <v>3</v>
      </c>
      <c r="AC94" s="3" t="str">
        <f aca="false">INDEX(Shelter_Design!$Z$2:$Z$41,MATCH($B94,Shelter_Design!$A$2:$A$41,0))</f>
        <v>Light-moderate</v>
      </c>
      <c r="AD94" s="3" t="n">
        <f aca="false">INDEX(Shelter_Design!$AA$2:$AA$41,MATCH($B94,Shelter_Design!$A$2:$A$41,0))</f>
        <v>1</v>
      </c>
      <c r="AE94" s="3" t="s">
        <v>304</v>
      </c>
    </row>
    <row r="95" customFormat="false" ht="15" hidden="false" customHeight="true" outlineLevel="0" collapsed="false">
      <c r="A95" s="3" t="s">
        <v>397</v>
      </c>
      <c r="B95" s="3" t="s">
        <v>273</v>
      </c>
      <c r="C95" s="3" t="s">
        <v>266</v>
      </c>
      <c r="D95" s="3" t="s">
        <v>303</v>
      </c>
      <c r="E95" s="3" t="s">
        <v>55</v>
      </c>
      <c r="F95" s="3" t="s">
        <v>46</v>
      </c>
      <c r="G95" s="3" t="str">
        <f aca="false">E95&amp;"-"&amp;F95</f>
        <v>Srinagar-September</v>
      </c>
      <c r="H95" s="3" t="n">
        <f aca="false">INDEX(Weather_Data!$K$2:$K$73,MATCH($G95,Weather_Data!$J$2:$J$73,0))</f>
        <v>22</v>
      </c>
      <c r="I95" s="3" t="n">
        <f aca="false">INDEX(Weather_Data!$L$2:$L$73,MATCH($G95,Weather_Data!$J$2:$J$73,0))</f>
        <v>55</v>
      </c>
      <c r="J95" s="3" t="n">
        <f aca="false">INDEX(Weather_Data!$M$2:$M$73,MATCH($G95,Weather_Data!$J$2:$J$73,0))</f>
        <v>1.8</v>
      </c>
      <c r="K95" s="3" t="n">
        <f aca="false">INDEX(Weather_Data!$P$2:$P$73,MATCH($G95,Weather_Data!$J$2:$J$73,0))</f>
        <v>187.5</v>
      </c>
      <c r="L95" s="3" t="n">
        <f aca="false">INDEX(Weather_Data!$Q$2:$Q$73,MATCH($G95,Weather_Data!$J$2:$J$73,0))</f>
        <v>50</v>
      </c>
      <c r="M95" s="3" t="str">
        <f aca="false">INDEX(Shelter_Design!$I$2:$I$41,MATCH($B95,Shelter_Design!$A$2:$A$41,0))</f>
        <v>M02</v>
      </c>
      <c r="N95" s="3" t="n">
        <f aca="false">IFERROR(INDEX(Material_Properties!$D$2:$D$21,MATCH(M95,Material_Properties!$A$2:$A$21,0)),1)</f>
        <v>0.7</v>
      </c>
      <c r="O95" s="3" t="n">
        <f aca="false">INDEX(Shelter_Design!$M$2:$M$41,MATCH($B95,Shelter_Design!$A$2:$A$41,0))</f>
        <v>230</v>
      </c>
      <c r="P95" s="3" t="str">
        <f aca="false">INDEX(Shelter_Design!$L$2:$L$41,MATCH($B95,Shelter_Design!$A$2:$A$41,0))</f>
        <v>M10</v>
      </c>
      <c r="Q95" s="3" t="n">
        <f aca="false">IF(P95="None",0,IFERROR(INDEX(Material_Properties!$D$2:$D$21,MATCH(P95,Material_Properties!$A$2:$A$21,0)),0))</f>
        <v>0.038</v>
      </c>
      <c r="R95" s="3" t="n">
        <f aca="false">INDEX(Shelter_Design!$O$2:$O$41,MATCH($B95,Shelter_Design!$A$2:$A$41,0))</f>
        <v>100</v>
      </c>
      <c r="S95" s="3" t="n">
        <f aca="false">(O95/1000)/N95</f>
        <v>0.328571428571429</v>
      </c>
      <c r="T95" s="3" t="n">
        <f aca="false">IF(OR(P95="None",Q95=0),0,(R95/1000)/Q95)</f>
        <v>2.63157894736842</v>
      </c>
      <c r="U95" s="3" t="n">
        <v>0.17</v>
      </c>
      <c r="V95" s="3" t="n">
        <f aca="false">S95+T95+U95</f>
        <v>3.13015037593985</v>
      </c>
      <c r="W95" s="3" t="n">
        <f aca="false">1/V95</f>
        <v>0.319473469289712</v>
      </c>
      <c r="X95" s="3" t="n">
        <f aca="false">INDEX(Shelter_Design!$R$2:$R$41,MATCH($B95,Shelter_Design!$A$2:$A$41,0))</f>
        <v>35</v>
      </c>
      <c r="Y95" s="3" t="n">
        <f aca="false">INDEX(Shelter_Design!$P$2:$P$41,MATCH($B95,Shelter_Design!$A$2:$A$41,0))</f>
        <v>1.4</v>
      </c>
      <c r="Z95" s="3" t="n">
        <f aca="false">INDEX(Shelter_Design!$G$2:$G$41,MATCH($B95,Shelter_Design!$A$2:$A$41,0))</f>
        <v>31.85</v>
      </c>
      <c r="AA95" s="3" t="n">
        <f aca="false">INDEX(Shelter_Design!$S$2:$S$41,MATCH($B95,Shelter_Design!$A$2:$A$41,0))</f>
        <v>0.0384615384615385</v>
      </c>
      <c r="AB95" s="3" t="n">
        <f aca="false">INDEX(Shelter_Design!$Y$2:$Y$41,MATCH($B95,Shelter_Design!$A$2:$A$41,0))</f>
        <v>3</v>
      </c>
      <c r="AC95" s="3" t="str">
        <f aca="false">INDEX(Shelter_Design!$Z$2:$Z$41,MATCH($B95,Shelter_Design!$A$2:$A$41,0))</f>
        <v>Light-moderate</v>
      </c>
      <c r="AD95" s="3" t="n">
        <f aca="false">INDEX(Shelter_Design!$AA$2:$AA$41,MATCH($B95,Shelter_Design!$A$2:$A$41,0))</f>
        <v>1</v>
      </c>
      <c r="AE95" s="3" t="s">
        <v>304</v>
      </c>
    </row>
    <row r="96" customFormat="false" ht="15" hidden="false" customHeight="true" outlineLevel="0" collapsed="false">
      <c r="A96" s="3" t="s">
        <v>398</v>
      </c>
      <c r="B96" s="3" t="s">
        <v>273</v>
      </c>
      <c r="C96" s="3" t="s">
        <v>266</v>
      </c>
      <c r="D96" s="3" t="s">
        <v>303</v>
      </c>
      <c r="E96" s="3" t="s">
        <v>55</v>
      </c>
      <c r="F96" s="3" t="s">
        <v>51</v>
      </c>
      <c r="G96" s="3" t="str">
        <f aca="false">E96&amp;"-"&amp;F96</f>
        <v>Srinagar-November</v>
      </c>
      <c r="H96" s="3" t="n">
        <f aca="false">INDEX(Weather_Data!$K$2:$K$73,MATCH($G96,Weather_Data!$J$2:$J$73,0))</f>
        <v>10</v>
      </c>
      <c r="I96" s="3" t="n">
        <f aca="false">INDEX(Weather_Data!$L$2:$L$73,MATCH($G96,Weather_Data!$J$2:$J$73,0))</f>
        <v>50</v>
      </c>
      <c r="J96" s="3" t="n">
        <f aca="false">INDEX(Weather_Data!$M$2:$M$73,MATCH($G96,Weather_Data!$J$2:$J$73,0))</f>
        <v>1.5</v>
      </c>
      <c r="K96" s="3" t="n">
        <f aca="false">INDEX(Weather_Data!$P$2:$P$73,MATCH($G96,Weather_Data!$J$2:$J$73,0))</f>
        <v>125</v>
      </c>
      <c r="L96" s="3" t="n">
        <f aca="false">INDEX(Weather_Data!$Q$2:$Q$73,MATCH($G96,Weather_Data!$J$2:$J$73,0))</f>
        <v>30</v>
      </c>
      <c r="M96" s="3" t="str">
        <f aca="false">INDEX(Shelter_Design!$I$2:$I$41,MATCH($B96,Shelter_Design!$A$2:$A$41,0))</f>
        <v>M02</v>
      </c>
      <c r="N96" s="3" t="n">
        <f aca="false">IFERROR(INDEX(Material_Properties!$D$2:$D$21,MATCH(M96,Material_Properties!$A$2:$A$21,0)),1)</f>
        <v>0.7</v>
      </c>
      <c r="O96" s="3" t="n">
        <f aca="false">INDEX(Shelter_Design!$M$2:$M$41,MATCH($B96,Shelter_Design!$A$2:$A$41,0))</f>
        <v>230</v>
      </c>
      <c r="P96" s="3" t="str">
        <f aca="false">INDEX(Shelter_Design!$L$2:$L$41,MATCH($B96,Shelter_Design!$A$2:$A$41,0))</f>
        <v>M10</v>
      </c>
      <c r="Q96" s="3" t="n">
        <f aca="false">IF(P96="None",0,IFERROR(INDEX(Material_Properties!$D$2:$D$21,MATCH(P96,Material_Properties!$A$2:$A$21,0)),0))</f>
        <v>0.038</v>
      </c>
      <c r="R96" s="3" t="n">
        <f aca="false">INDEX(Shelter_Design!$O$2:$O$41,MATCH($B96,Shelter_Design!$A$2:$A$41,0))</f>
        <v>100</v>
      </c>
      <c r="S96" s="3" t="n">
        <f aca="false">(O96/1000)/N96</f>
        <v>0.328571428571429</v>
      </c>
      <c r="T96" s="3" t="n">
        <f aca="false">IF(OR(P96="None",Q96=0),0,(R96/1000)/Q96)</f>
        <v>2.63157894736842</v>
      </c>
      <c r="U96" s="3" t="n">
        <v>0.17</v>
      </c>
      <c r="V96" s="3" t="n">
        <f aca="false">S96+T96+U96</f>
        <v>3.13015037593985</v>
      </c>
      <c r="W96" s="3" t="n">
        <f aca="false">1/V96</f>
        <v>0.319473469289712</v>
      </c>
      <c r="X96" s="3" t="n">
        <f aca="false">INDEX(Shelter_Design!$R$2:$R$41,MATCH($B96,Shelter_Design!$A$2:$A$41,0))</f>
        <v>35</v>
      </c>
      <c r="Y96" s="3" t="n">
        <f aca="false">INDEX(Shelter_Design!$P$2:$P$41,MATCH($B96,Shelter_Design!$A$2:$A$41,0))</f>
        <v>1.4</v>
      </c>
      <c r="Z96" s="3" t="n">
        <f aca="false">INDEX(Shelter_Design!$G$2:$G$41,MATCH($B96,Shelter_Design!$A$2:$A$41,0))</f>
        <v>31.85</v>
      </c>
      <c r="AA96" s="3" t="n">
        <f aca="false">INDEX(Shelter_Design!$S$2:$S$41,MATCH($B96,Shelter_Design!$A$2:$A$41,0))</f>
        <v>0.0384615384615385</v>
      </c>
      <c r="AB96" s="3" t="n">
        <f aca="false">INDEX(Shelter_Design!$Y$2:$Y$41,MATCH($B96,Shelter_Design!$A$2:$A$41,0))</f>
        <v>3</v>
      </c>
      <c r="AC96" s="3" t="str">
        <f aca="false">INDEX(Shelter_Design!$Z$2:$Z$41,MATCH($B96,Shelter_Design!$A$2:$A$41,0))</f>
        <v>Light-moderate</v>
      </c>
      <c r="AD96" s="3" t="n">
        <f aca="false">INDEX(Shelter_Design!$AA$2:$AA$41,MATCH($B96,Shelter_Design!$A$2:$A$41,0))</f>
        <v>1</v>
      </c>
      <c r="AE96" s="3" t="s">
        <v>304</v>
      </c>
    </row>
    <row r="97" customFormat="false" ht="15" hidden="false" customHeight="true" outlineLevel="0" collapsed="false">
      <c r="A97" s="3" t="s">
        <v>399</v>
      </c>
      <c r="B97" s="3" t="s">
        <v>274</v>
      </c>
      <c r="C97" s="3" t="s">
        <v>266</v>
      </c>
      <c r="D97" s="3" t="s">
        <v>303</v>
      </c>
      <c r="E97" s="3" t="s">
        <v>55</v>
      </c>
      <c r="F97" s="3" t="s">
        <v>22</v>
      </c>
      <c r="G97" s="3" t="str">
        <f aca="false">E97&amp;"-"&amp;F97</f>
        <v>Srinagar-January</v>
      </c>
      <c r="H97" s="3" t="n">
        <f aca="false">INDEX(Weather_Data!$K$2:$K$73,MATCH($G97,Weather_Data!$J$2:$J$73,0))</f>
        <v>3</v>
      </c>
      <c r="I97" s="3" t="n">
        <f aca="false">INDEX(Weather_Data!$L$2:$L$73,MATCH($G97,Weather_Data!$J$2:$J$73,0))</f>
        <v>55</v>
      </c>
      <c r="J97" s="3" t="n">
        <f aca="false">INDEX(Weather_Data!$M$2:$M$73,MATCH($G97,Weather_Data!$J$2:$J$73,0))</f>
        <v>1.5</v>
      </c>
      <c r="K97" s="3" t="n">
        <f aca="false">INDEX(Weather_Data!$P$2:$P$73,MATCH($G97,Weather_Data!$J$2:$J$73,0))</f>
        <v>104.166666666667</v>
      </c>
      <c r="L97" s="3" t="n">
        <f aca="false">INDEX(Weather_Data!$Q$2:$Q$73,MATCH($G97,Weather_Data!$J$2:$J$73,0))</f>
        <v>70</v>
      </c>
      <c r="M97" s="3" t="str">
        <f aca="false">INDEX(Shelter_Design!$I$2:$I$41,MATCH($B97,Shelter_Design!$A$2:$A$41,0))</f>
        <v>M02</v>
      </c>
      <c r="N97" s="3" t="n">
        <f aca="false">IFERROR(INDEX(Material_Properties!$D$2:$D$21,MATCH(M97,Material_Properties!$A$2:$A$21,0)),1)</f>
        <v>0.7</v>
      </c>
      <c r="O97" s="3" t="n">
        <f aca="false">INDEX(Shelter_Design!$M$2:$M$41,MATCH($B97,Shelter_Design!$A$2:$A$41,0))</f>
        <v>230</v>
      </c>
      <c r="P97" s="3" t="str">
        <f aca="false">INDEX(Shelter_Design!$L$2:$L$41,MATCH($B97,Shelter_Design!$A$2:$A$41,0))</f>
        <v>M10</v>
      </c>
      <c r="Q97" s="3" t="n">
        <f aca="false">IF(P97="None",0,IFERROR(INDEX(Material_Properties!$D$2:$D$21,MATCH(P97,Material_Properties!$A$2:$A$21,0)),0))</f>
        <v>0.038</v>
      </c>
      <c r="R97" s="3" t="n">
        <f aca="false">INDEX(Shelter_Design!$O$2:$O$41,MATCH($B97,Shelter_Design!$A$2:$A$41,0))</f>
        <v>100</v>
      </c>
      <c r="S97" s="3" t="n">
        <f aca="false">(O97/1000)/N97</f>
        <v>0.328571428571429</v>
      </c>
      <c r="T97" s="3" t="n">
        <f aca="false">IF(OR(P97="None",Q97=0),0,(R97/1000)/Q97)</f>
        <v>2.63157894736842</v>
      </c>
      <c r="U97" s="3" t="n">
        <v>0.17</v>
      </c>
      <c r="V97" s="3" t="n">
        <f aca="false">S97+T97+U97</f>
        <v>3.13015037593985</v>
      </c>
      <c r="W97" s="3" t="n">
        <f aca="false">1/V97</f>
        <v>0.319473469289712</v>
      </c>
      <c r="X97" s="3" t="n">
        <f aca="false">INDEX(Shelter_Design!$R$2:$R$41,MATCH($B97,Shelter_Design!$A$2:$A$41,0))</f>
        <v>49.3</v>
      </c>
      <c r="Y97" s="3" t="n">
        <f aca="false">INDEX(Shelter_Design!$P$2:$P$41,MATCH($B97,Shelter_Design!$A$2:$A$41,0))</f>
        <v>2</v>
      </c>
      <c r="Z97" s="3" t="n">
        <f aca="false">INDEX(Shelter_Design!$G$2:$G$41,MATCH($B97,Shelter_Design!$A$2:$A$41,0))</f>
        <v>60.75</v>
      </c>
      <c r="AA97" s="3" t="n">
        <f aca="false">INDEX(Shelter_Design!$S$2:$S$41,MATCH($B97,Shelter_Design!$A$2:$A$41,0))</f>
        <v>0.0389863547758285</v>
      </c>
      <c r="AB97" s="3" t="n">
        <f aca="false">INDEX(Shelter_Design!$Y$2:$Y$41,MATCH($B97,Shelter_Design!$A$2:$A$41,0))</f>
        <v>6</v>
      </c>
      <c r="AC97" s="3" t="str">
        <f aca="false">INDEX(Shelter_Design!$Z$2:$Z$41,MATCH($B97,Shelter_Design!$A$2:$A$41,0))</f>
        <v>Light-moderate</v>
      </c>
      <c r="AD97" s="3" t="n">
        <f aca="false">INDEX(Shelter_Design!$AA$2:$AA$41,MATCH($B97,Shelter_Design!$A$2:$A$41,0))</f>
        <v>1</v>
      </c>
      <c r="AE97" s="3" t="s">
        <v>304</v>
      </c>
    </row>
    <row r="98" customFormat="false" ht="15" hidden="false" customHeight="true" outlineLevel="0" collapsed="false">
      <c r="A98" s="3" t="s">
        <v>400</v>
      </c>
      <c r="B98" s="3" t="s">
        <v>274</v>
      </c>
      <c r="C98" s="3" t="s">
        <v>266</v>
      </c>
      <c r="D98" s="3" t="s">
        <v>303</v>
      </c>
      <c r="E98" s="3" t="s">
        <v>55</v>
      </c>
      <c r="F98" s="3" t="s">
        <v>33</v>
      </c>
      <c r="G98" s="3" t="str">
        <f aca="false">E98&amp;"-"&amp;F98</f>
        <v>Srinagar-April</v>
      </c>
      <c r="H98" s="3" t="n">
        <f aca="false">INDEX(Weather_Data!$K$2:$K$73,MATCH($G98,Weather_Data!$J$2:$J$73,0))</f>
        <v>15</v>
      </c>
      <c r="I98" s="3" t="n">
        <f aca="false">INDEX(Weather_Data!$L$2:$L$73,MATCH($G98,Weather_Data!$J$2:$J$73,0))</f>
        <v>50</v>
      </c>
      <c r="J98" s="3" t="n">
        <f aca="false">INDEX(Weather_Data!$M$2:$M$73,MATCH($G98,Weather_Data!$J$2:$J$73,0))</f>
        <v>2.5</v>
      </c>
      <c r="K98" s="3" t="n">
        <f aca="false">INDEX(Weather_Data!$P$2:$P$73,MATCH($G98,Weather_Data!$J$2:$J$73,0))</f>
        <v>208.333333333333</v>
      </c>
      <c r="L98" s="3" t="n">
        <f aca="false">INDEX(Weather_Data!$Q$2:$Q$73,MATCH($G98,Weather_Data!$J$2:$J$73,0))</f>
        <v>90</v>
      </c>
      <c r="M98" s="3" t="str">
        <f aca="false">INDEX(Shelter_Design!$I$2:$I$41,MATCH($B98,Shelter_Design!$A$2:$A$41,0))</f>
        <v>M02</v>
      </c>
      <c r="N98" s="3" t="n">
        <f aca="false">IFERROR(INDEX(Material_Properties!$D$2:$D$21,MATCH(M98,Material_Properties!$A$2:$A$21,0)),1)</f>
        <v>0.7</v>
      </c>
      <c r="O98" s="3" t="n">
        <f aca="false">INDEX(Shelter_Design!$M$2:$M$41,MATCH($B98,Shelter_Design!$A$2:$A$41,0))</f>
        <v>230</v>
      </c>
      <c r="P98" s="3" t="str">
        <f aca="false">INDEX(Shelter_Design!$L$2:$L$41,MATCH($B98,Shelter_Design!$A$2:$A$41,0))</f>
        <v>M10</v>
      </c>
      <c r="Q98" s="3" t="n">
        <f aca="false">IF(P98="None",0,IFERROR(INDEX(Material_Properties!$D$2:$D$21,MATCH(P98,Material_Properties!$A$2:$A$21,0)),0))</f>
        <v>0.038</v>
      </c>
      <c r="R98" s="3" t="n">
        <f aca="false">INDEX(Shelter_Design!$O$2:$O$41,MATCH($B98,Shelter_Design!$A$2:$A$41,0))</f>
        <v>100</v>
      </c>
      <c r="S98" s="3" t="n">
        <f aca="false">(O98/1000)/N98</f>
        <v>0.328571428571429</v>
      </c>
      <c r="T98" s="3" t="n">
        <f aca="false">IF(OR(P98="None",Q98=0),0,(R98/1000)/Q98)</f>
        <v>2.63157894736842</v>
      </c>
      <c r="U98" s="3" t="n">
        <v>0.17</v>
      </c>
      <c r="V98" s="3" t="n">
        <f aca="false">S98+T98+U98</f>
        <v>3.13015037593985</v>
      </c>
      <c r="W98" s="3" t="n">
        <f aca="false">1/V98</f>
        <v>0.319473469289712</v>
      </c>
      <c r="X98" s="3" t="n">
        <f aca="false">INDEX(Shelter_Design!$R$2:$R$41,MATCH($B98,Shelter_Design!$A$2:$A$41,0))</f>
        <v>49.3</v>
      </c>
      <c r="Y98" s="3" t="n">
        <f aca="false">INDEX(Shelter_Design!$P$2:$P$41,MATCH($B98,Shelter_Design!$A$2:$A$41,0))</f>
        <v>2</v>
      </c>
      <c r="Z98" s="3" t="n">
        <f aca="false">INDEX(Shelter_Design!$G$2:$G$41,MATCH($B98,Shelter_Design!$A$2:$A$41,0))</f>
        <v>60.75</v>
      </c>
      <c r="AA98" s="3" t="n">
        <f aca="false">INDEX(Shelter_Design!$S$2:$S$41,MATCH($B98,Shelter_Design!$A$2:$A$41,0))</f>
        <v>0.0389863547758285</v>
      </c>
      <c r="AB98" s="3" t="n">
        <f aca="false">INDEX(Shelter_Design!$Y$2:$Y$41,MATCH($B98,Shelter_Design!$A$2:$A$41,0))</f>
        <v>6</v>
      </c>
      <c r="AC98" s="3" t="str">
        <f aca="false">INDEX(Shelter_Design!$Z$2:$Z$41,MATCH($B98,Shelter_Design!$A$2:$A$41,0))</f>
        <v>Light-moderate</v>
      </c>
      <c r="AD98" s="3" t="n">
        <f aca="false">INDEX(Shelter_Design!$AA$2:$AA$41,MATCH($B98,Shelter_Design!$A$2:$A$41,0))</f>
        <v>1</v>
      </c>
      <c r="AE98" s="3" t="s">
        <v>304</v>
      </c>
    </row>
    <row r="99" customFormat="false" ht="15" hidden="false" customHeight="true" outlineLevel="0" collapsed="false">
      <c r="A99" s="3" t="s">
        <v>401</v>
      </c>
      <c r="B99" s="3" t="s">
        <v>274</v>
      </c>
      <c r="C99" s="3" t="s">
        <v>266</v>
      </c>
      <c r="D99" s="3" t="s">
        <v>303</v>
      </c>
      <c r="E99" s="3" t="s">
        <v>55</v>
      </c>
      <c r="F99" s="3" t="s">
        <v>42</v>
      </c>
      <c r="G99" s="3" t="str">
        <f aca="false">E99&amp;"-"&amp;F99</f>
        <v>Srinagar-July</v>
      </c>
      <c r="H99" s="3" t="n">
        <f aca="false">INDEX(Weather_Data!$K$2:$K$73,MATCH($G99,Weather_Data!$J$2:$J$73,0))</f>
        <v>26</v>
      </c>
      <c r="I99" s="3" t="n">
        <f aca="false">INDEX(Weather_Data!$L$2:$L$73,MATCH($G99,Weather_Data!$J$2:$J$73,0))</f>
        <v>60</v>
      </c>
      <c r="J99" s="3" t="n">
        <f aca="false">INDEX(Weather_Data!$M$2:$M$73,MATCH($G99,Weather_Data!$J$2:$J$73,0))</f>
        <v>1.8</v>
      </c>
      <c r="K99" s="3" t="n">
        <f aca="false">INDEX(Weather_Data!$P$2:$P$73,MATCH($G99,Weather_Data!$J$2:$J$73,0))</f>
        <v>208.333333333333</v>
      </c>
      <c r="L99" s="3" t="n">
        <f aca="false">INDEX(Weather_Data!$Q$2:$Q$73,MATCH($G99,Weather_Data!$J$2:$J$73,0))</f>
        <v>60</v>
      </c>
      <c r="M99" s="3" t="str">
        <f aca="false">INDEX(Shelter_Design!$I$2:$I$41,MATCH($B99,Shelter_Design!$A$2:$A$41,0))</f>
        <v>M02</v>
      </c>
      <c r="N99" s="3" t="n">
        <f aca="false">IFERROR(INDEX(Material_Properties!$D$2:$D$21,MATCH(M99,Material_Properties!$A$2:$A$21,0)),1)</f>
        <v>0.7</v>
      </c>
      <c r="O99" s="3" t="n">
        <f aca="false">INDEX(Shelter_Design!$M$2:$M$41,MATCH($B99,Shelter_Design!$A$2:$A$41,0))</f>
        <v>230</v>
      </c>
      <c r="P99" s="3" t="str">
        <f aca="false">INDEX(Shelter_Design!$L$2:$L$41,MATCH($B99,Shelter_Design!$A$2:$A$41,0))</f>
        <v>M10</v>
      </c>
      <c r="Q99" s="3" t="n">
        <f aca="false">IF(P99="None",0,IFERROR(INDEX(Material_Properties!$D$2:$D$21,MATCH(P99,Material_Properties!$A$2:$A$21,0)),0))</f>
        <v>0.038</v>
      </c>
      <c r="R99" s="3" t="n">
        <f aca="false">INDEX(Shelter_Design!$O$2:$O$41,MATCH($B99,Shelter_Design!$A$2:$A$41,0))</f>
        <v>100</v>
      </c>
      <c r="S99" s="3" t="n">
        <f aca="false">(O99/1000)/N99</f>
        <v>0.328571428571429</v>
      </c>
      <c r="T99" s="3" t="n">
        <f aca="false">IF(OR(P99="None",Q99=0),0,(R99/1000)/Q99)</f>
        <v>2.63157894736842</v>
      </c>
      <c r="U99" s="3" t="n">
        <v>0.17</v>
      </c>
      <c r="V99" s="3" t="n">
        <f aca="false">S99+T99+U99</f>
        <v>3.13015037593985</v>
      </c>
      <c r="W99" s="3" t="n">
        <f aca="false">1/V99</f>
        <v>0.319473469289712</v>
      </c>
      <c r="X99" s="3" t="n">
        <f aca="false">INDEX(Shelter_Design!$R$2:$R$41,MATCH($B99,Shelter_Design!$A$2:$A$41,0))</f>
        <v>49.3</v>
      </c>
      <c r="Y99" s="3" t="n">
        <f aca="false">INDEX(Shelter_Design!$P$2:$P$41,MATCH($B99,Shelter_Design!$A$2:$A$41,0))</f>
        <v>2</v>
      </c>
      <c r="Z99" s="3" t="n">
        <f aca="false">INDEX(Shelter_Design!$G$2:$G$41,MATCH($B99,Shelter_Design!$A$2:$A$41,0))</f>
        <v>60.75</v>
      </c>
      <c r="AA99" s="3" t="n">
        <f aca="false">INDEX(Shelter_Design!$S$2:$S$41,MATCH($B99,Shelter_Design!$A$2:$A$41,0))</f>
        <v>0.0389863547758285</v>
      </c>
      <c r="AB99" s="3" t="n">
        <f aca="false">INDEX(Shelter_Design!$Y$2:$Y$41,MATCH($B99,Shelter_Design!$A$2:$A$41,0))</f>
        <v>6</v>
      </c>
      <c r="AC99" s="3" t="str">
        <f aca="false">INDEX(Shelter_Design!$Z$2:$Z$41,MATCH($B99,Shelter_Design!$A$2:$A$41,0))</f>
        <v>Light-moderate</v>
      </c>
      <c r="AD99" s="3" t="n">
        <f aca="false">INDEX(Shelter_Design!$AA$2:$AA$41,MATCH($B99,Shelter_Design!$A$2:$A$41,0))</f>
        <v>1</v>
      </c>
      <c r="AE99" s="3" t="s">
        <v>304</v>
      </c>
    </row>
    <row r="100" customFormat="false" ht="15" hidden="false" customHeight="true" outlineLevel="0" collapsed="false">
      <c r="A100" s="3" t="s">
        <v>402</v>
      </c>
      <c r="B100" s="3" t="s">
        <v>274</v>
      </c>
      <c r="C100" s="3" t="s">
        <v>266</v>
      </c>
      <c r="D100" s="3" t="s">
        <v>303</v>
      </c>
      <c r="E100" s="3" t="s">
        <v>55</v>
      </c>
      <c r="F100" s="3" t="s">
        <v>46</v>
      </c>
      <c r="G100" s="3" t="str">
        <f aca="false">E100&amp;"-"&amp;F100</f>
        <v>Srinagar-September</v>
      </c>
      <c r="H100" s="3" t="n">
        <f aca="false">INDEX(Weather_Data!$K$2:$K$73,MATCH($G100,Weather_Data!$J$2:$J$73,0))</f>
        <v>22</v>
      </c>
      <c r="I100" s="3" t="n">
        <f aca="false">INDEX(Weather_Data!$L$2:$L$73,MATCH($G100,Weather_Data!$J$2:$J$73,0))</f>
        <v>55</v>
      </c>
      <c r="J100" s="3" t="n">
        <f aca="false">INDEX(Weather_Data!$M$2:$M$73,MATCH($G100,Weather_Data!$J$2:$J$73,0))</f>
        <v>1.8</v>
      </c>
      <c r="K100" s="3" t="n">
        <f aca="false">INDEX(Weather_Data!$P$2:$P$73,MATCH($G100,Weather_Data!$J$2:$J$73,0))</f>
        <v>187.5</v>
      </c>
      <c r="L100" s="3" t="n">
        <f aca="false">INDEX(Weather_Data!$Q$2:$Q$73,MATCH($G100,Weather_Data!$J$2:$J$73,0))</f>
        <v>50</v>
      </c>
      <c r="M100" s="3" t="str">
        <f aca="false">INDEX(Shelter_Design!$I$2:$I$41,MATCH($B100,Shelter_Design!$A$2:$A$41,0))</f>
        <v>M02</v>
      </c>
      <c r="N100" s="3" t="n">
        <f aca="false">IFERROR(INDEX(Material_Properties!$D$2:$D$21,MATCH(M100,Material_Properties!$A$2:$A$21,0)),1)</f>
        <v>0.7</v>
      </c>
      <c r="O100" s="3" t="n">
        <f aca="false">INDEX(Shelter_Design!$M$2:$M$41,MATCH($B100,Shelter_Design!$A$2:$A$41,0))</f>
        <v>230</v>
      </c>
      <c r="P100" s="3" t="str">
        <f aca="false">INDEX(Shelter_Design!$L$2:$L$41,MATCH($B100,Shelter_Design!$A$2:$A$41,0))</f>
        <v>M10</v>
      </c>
      <c r="Q100" s="3" t="n">
        <f aca="false">IF(P100="None",0,IFERROR(INDEX(Material_Properties!$D$2:$D$21,MATCH(P100,Material_Properties!$A$2:$A$21,0)),0))</f>
        <v>0.038</v>
      </c>
      <c r="R100" s="3" t="n">
        <f aca="false">INDEX(Shelter_Design!$O$2:$O$41,MATCH($B100,Shelter_Design!$A$2:$A$41,0))</f>
        <v>100</v>
      </c>
      <c r="S100" s="3" t="n">
        <f aca="false">(O100/1000)/N100</f>
        <v>0.328571428571429</v>
      </c>
      <c r="T100" s="3" t="n">
        <f aca="false">IF(OR(P100="None",Q100=0),0,(R100/1000)/Q100)</f>
        <v>2.63157894736842</v>
      </c>
      <c r="U100" s="3" t="n">
        <v>0.17</v>
      </c>
      <c r="V100" s="3" t="n">
        <f aca="false">S100+T100+U100</f>
        <v>3.13015037593985</v>
      </c>
      <c r="W100" s="3" t="n">
        <f aca="false">1/V100</f>
        <v>0.319473469289712</v>
      </c>
      <c r="X100" s="3" t="n">
        <f aca="false">INDEX(Shelter_Design!$R$2:$R$41,MATCH($B100,Shelter_Design!$A$2:$A$41,0))</f>
        <v>49.3</v>
      </c>
      <c r="Y100" s="3" t="n">
        <f aca="false">INDEX(Shelter_Design!$P$2:$P$41,MATCH($B100,Shelter_Design!$A$2:$A$41,0))</f>
        <v>2</v>
      </c>
      <c r="Z100" s="3" t="n">
        <f aca="false">INDEX(Shelter_Design!$G$2:$G$41,MATCH($B100,Shelter_Design!$A$2:$A$41,0))</f>
        <v>60.75</v>
      </c>
      <c r="AA100" s="3" t="n">
        <f aca="false">INDEX(Shelter_Design!$S$2:$S$41,MATCH($B100,Shelter_Design!$A$2:$A$41,0))</f>
        <v>0.0389863547758285</v>
      </c>
      <c r="AB100" s="3" t="n">
        <f aca="false">INDEX(Shelter_Design!$Y$2:$Y$41,MATCH($B100,Shelter_Design!$A$2:$A$41,0))</f>
        <v>6</v>
      </c>
      <c r="AC100" s="3" t="str">
        <f aca="false">INDEX(Shelter_Design!$Z$2:$Z$41,MATCH($B100,Shelter_Design!$A$2:$A$41,0))</f>
        <v>Light-moderate</v>
      </c>
      <c r="AD100" s="3" t="n">
        <f aca="false">INDEX(Shelter_Design!$AA$2:$AA$41,MATCH($B100,Shelter_Design!$A$2:$A$41,0))</f>
        <v>1</v>
      </c>
      <c r="AE100" s="3" t="s">
        <v>304</v>
      </c>
    </row>
    <row r="101" customFormat="false" ht="15" hidden="false" customHeight="true" outlineLevel="0" collapsed="false">
      <c r="A101" s="3" t="s">
        <v>403</v>
      </c>
      <c r="B101" s="3" t="s">
        <v>274</v>
      </c>
      <c r="C101" s="3" t="s">
        <v>266</v>
      </c>
      <c r="D101" s="3" t="s">
        <v>303</v>
      </c>
      <c r="E101" s="3" t="s">
        <v>55</v>
      </c>
      <c r="F101" s="3" t="s">
        <v>51</v>
      </c>
      <c r="G101" s="3" t="str">
        <f aca="false">E101&amp;"-"&amp;F101</f>
        <v>Srinagar-November</v>
      </c>
      <c r="H101" s="3" t="n">
        <f aca="false">INDEX(Weather_Data!$K$2:$K$73,MATCH($G101,Weather_Data!$J$2:$J$73,0))</f>
        <v>10</v>
      </c>
      <c r="I101" s="3" t="n">
        <f aca="false">INDEX(Weather_Data!$L$2:$L$73,MATCH($G101,Weather_Data!$J$2:$J$73,0))</f>
        <v>50</v>
      </c>
      <c r="J101" s="3" t="n">
        <f aca="false">INDEX(Weather_Data!$M$2:$M$73,MATCH($G101,Weather_Data!$J$2:$J$73,0))</f>
        <v>1.5</v>
      </c>
      <c r="K101" s="3" t="n">
        <f aca="false">INDEX(Weather_Data!$P$2:$P$73,MATCH($G101,Weather_Data!$J$2:$J$73,0))</f>
        <v>125</v>
      </c>
      <c r="L101" s="3" t="n">
        <f aca="false">INDEX(Weather_Data!$Q$2:$Q$73,MATCH($G101,Weather_Data!$J$2:$J$73,0))</f>
        <v>30</v>
      </c>
      <c r="M101" s="3" t="str">
        <f aca="false">INDEX(Shelter_Design!$I$2:$I$41,MATCH($B101,Shelter_Design!$A$2:$A$41,0))</f>
        <v>M02</v>
      </c>
      <c r="N101" s="3" t="n">
        <f aca="false">IFERROR(INDEX(Material_Properties!$D$2:$D$21,MATCH(M101,Material_Properties!$A$2:$A$21,0)),1)</f>
        <v>0.7</v>
      </c>
      <c r="O101" s="3" t="n">
        <f aca="false">INDEX(Shelter_Design!$M$2:$M$41,MATCH($B101,Shelter_Design!$A$2:$A$41,0))</f>
        <v>230</v>
      </c>
      <c r="P101" s="3" t="str">
        <f aca="false">INDEX(Shelter_Design!$L$2:$L$41,MATCH($B101,Shelter_Design!$A$2:$A$41,0))</f>
        <v>M10</v>
      </c>
      <c r="Q101" s="3" t="n">
        <f aca="false">IF(P101="None",0,IFERROR(INDEX(Material_Properties!$D$2:$D$21,MATCH(P101,Material_Properties!$A$2:$A$21,0)),0))</f>
        <v>0.038</v>
      </c>
      <c r="R101" s="3" t="n">
        <f aca="false">INDEX(Shelter_Design!$O$2:$O$41,MATCH($B101,Shelter_Design!$A$2:$A$41,0))</f>
        <v>100</v>
      </c>
      <c r="S101" s="3" t="n">
        <f aca="false">(O101/1000)/N101</f>
        <v>0.328571428571429</v>
      </c>
      <c r="T101" s="3" t="n">
        <f aca="false">IF(OR(P101="None",Q101=0),0,(R101/1000)/Q101)</f>
        <v>2.63157894736842</v>
      </c>
      <c r="U101" s="3" t="n">
        <v>0.17</v>
      </c>
      <c r="V101" s="3" t="n">
        <f aca="false">S101+T101+U101</f>
        <v>3.13015037593985</v>
      </c>
      <c r="W101" s="3" t="n">
        <f aca="false">1/V101</f>
        <v>0.319473469289712</v>
      </c>
      <c r="X101" s="3" t="n">
        <f aca="false">INDEX(Shelter_Design!$R$2:$R$41,MATCH($B101,Shelter_Design!$A$2:$A$41,0))</f>
        <v>49.3</v>
      </c>
      <c r="Y101" s="3" t="n">
        <f aca="false">INDEX(Shelter_Design!$P$2:$P$41,MATCH($B101,Shelter_Design!$A$2:$A$41,0))</f>
        <v>2</v>
      </c>
      <c r="Z101" s="3" t="n">
        <f aca="false">INDEX(Shelter_Design!$G$2:$G$41,MATCH($B101,Shelter_Design!$A$2:$A$41,0))</f>
        <v>60.75</v>
      </c>
      <c r="AA101" s="3" t="n">
        <f aca="false">INDEX(Shelter_Design!$S$2:$S$41,MATCH($B101,Shelter_Design!$A$2:$A$41,0))</f>
        <v>0.0389863547758285</v>
      </c>
      <c r="AB101" s="3" t="n">
        <f aca="false">INDEX(Shelter_Design!$Y$2:$Y$41,MATCH($B101,Shelter_Design!$A$2:$A$41,0))</f>
        <v>6</v>
      </c>
      <c r="AC101" s="3" t="str">
        <f aca="false">INDEX(Shelter_Design!$Z$2:$Z$41,MATCH($B101,Shelter_Design!$A$2:$A$41,0))</f>
        <v>Light-moderate</v>
      </c>
      <c r="AD101" s="3" t="n">
        <f aca="false">INDEX(Shelter_Design!$AA$2:$AA$41,MATCH($B101,Shelter_Design!$A$2:$A$41,0))</f>
        <v>1</v>
      </c>
      <c r="AE101" s="3" t="s">
        <v>304</v>
      </c>
    </row>
    <row r="102" customFormat="false" ht="15" hidden="false" customHeight="true" outlineLevel="0" collapsed="false">
      <c r="A102" s="3" t="s">
        <v>404</v>
      </c>
      <c r="B102" s="3" t="s">
        <v>275</v>
      </c>
      <c r="C102" s="3" t="s">
        <v>266</v>
      </c>
      <c r="D102" s="3" t="s">
        <v>303</v>
      </c>
      <c r="E102" s="3" t="s">
        <v>55</v>
      </c>
      <c r="F102" s="3" t="s">
        <v>22</v>
      </c>
      <c r="G102" s="3" t="str">
        <f aca="false">E102&amp;"-"&amp;F102</f>
        <v>Srinagar-January</v>
      </c>
      <c r="H102" s="3" t="n">
        <f aca="false">INDEX(Weather_Data!$K$2:$K$73,MATCH($G102,Weather_Data!$J$2:$J$73,0))</f>
        <v>3</v>
      </c>
      <c r="I102" s="3" t="n">
        <f aca="false">INDEX(Weather_Data!$L$2:$L$73,MATCH($G102,Weather_Data!$J$2:$J$73,0))</f>
        <v>55</v>
      </c>
      <c r="J102" s="3" t="n">
        <f aca="false">INDEX(Weather_Data!$M$2:$M$73,MATCH($G102,Weather_Data!$J$2:$J$73,0))</f>
        <v>1.5</v>
      </c>
      <c r="K102" s="3" t="n">
        <f aca="false">INDEX(Weather_Data!$P$2:$P$73,MATCH($G102,Weather_Data!$J$2:$J$73,0))</f>
        <v>104.166666666667</v>
      </c>
      <c r="L102" s="3" t="n">
        <f aca="false">INDEX(Weather_Data!$Q$2:$Q$73,MATCH($G102,Weather_Data!$J$2:$J$73,0))</f>
        <v>70</v>
      </c>
      <c r="M102" s="3" t="str">
        <f aca="false">INDEX(Shelter_Design!$I$2:$I$41,MATCH($B102,Shelter_Design!$A$2:$A$41,0))</f>
        <v>M06</v>
      </c>
      <c r="N102" s="3" t="n">
        <f aca="false">IFERROR(INDEX(Material_Properties!$D$2:$D$21,MATCH(M102,Material_Properties!$A$2:$A$21,0)),1)</f>
        <v>0.14</v>
      </c>
      <c r="O102" s="3" t="n">
        <f aca="false">INDEX(Shelter_Design!$M$2:$M$41,MATCH($B102,Shelter_Design!$A$2:$A$41,0))</f>
        <v>150</v>
      </c>
      <c r="P102" s="3" t="str">
        <f aca="false">INDEX(Shelter_Design!$L$2:$L$41,MATCH($B102,Shelter_Design!$A$2:$A$41,0))</f>
        <v>M10</v>
      </c>
      <c r="Q102" s="3" t="n">
        <f aca="false">IF(P102="None",0,IFERROR(INDEX(Material_Properties!$D$2:$D$21,MATCH(P102,Material_Properties!$A$2:$A$21,0)),0))</f>
        <v>0.038</v>
      </c>
      <c r="R102" s="3" t="n">
        <f aca="false">INDEX(Shelter_Design!$O$2:$O$41,MATCH($B102,Shelter_Design!$A$2:$A$41,0))</f>
        <v>50</v>
      </c>
      <c r="S102" s="3" t="n">
        <f aca="false">(O102/1000)/N102</f>
        <v>1.07142857142857</v>
      </c>
      <c r="T102" s="3" t="n">
        <f aca="false">IF(OR(P102="None",Q102=0),0,(R102/1000)/Q102)</f>
        <v>1.31578947368421</v>
      </c>
      <c r="U102" s="3" t="n">
        <v>0.17</v>
      </c>
      <c r="V102" s="3" t="n">
        <f aca="false">S102+T102+U102</f>
        <v>2.55721804511278</v>
      </c>
      <c r="W102" s="3" t="n">
        <f aca="false">1/V102</f>
        <v>0.391049954426509</v>
      </c>
      <c r="X102" s="3" t="n">
        <f aca="false">INDEX(Shelter_Design!$R$2:$R$41,MATCH($B102,Shelter_Design!$A$2:$A$41,0))</f>
        <v>35</v>
      </c>
      <c r="Y102" s="3" t="n">
        <f aca="false">INDEX(Shelter_Design!$P$2:$P$41,MATCH($B102,Shelter_Design!$A$2:$A$41,0))</f>
        <v>1.4</v>
      </c>
      <c r="Z102" s="3" t="n">
        <f aca="false">INDEX(Shelter_Design!$G$2:$G$41,MATCH($B102,Shelter_Design!$A$2:$A$41,0))</f>
        <v>31.85</v>
      </c>
      <c r="AA102" s="3" t="n">
        <f aca="false">INDEX(Shelter_Design!$S$2:$S$41,MATCH($B102,Shelter_Design!$A$2:$A$41,0))</f>
        <v>0.0384615384615385</v>
      </c>
      <c r="AB102" s="3" t="n">
        <f aca="false">INDEX(Shelter_Design!$Y$2:$Y$41,MATCH($B102,Shelter_Design!$A$2:$A$41,0))</f>
        <v>3</v>
      </c>
      <c r="AC102" s="3" t="str">
        <f aca="false">INDEX(Shelter_Design!$Z$2:$Z$41,MATCH($B102,Shelter_Design!$A$2:$A$41,0))</f>
        <v>Light-moderate</v>
      </c>
      <c r="AD102" s="3" t="n">
        <f aca="false">INDEX(Shelter_Design!$AA$2:$AA$41,MATCH($B102,Shelter_Design!$A$2:$A$41,0))</f>
        <v>1</v>
      </c>
      <c r="AE102" s="3" t="s">
        <v>304</v>
      </c>
    </row>
    <row r="103" customFormat="false" ht="15" hidden="false" customHeight="true" outlineLevel="0" collapsed="false">
      <c r="A103" s="3" t="s">
        <v>405</v>
      </c>
      <c r="B103" s="3" t="s">
        <v>275</v>
      </c>
      <c r="C103" s="3" t="s">
        <v>266</v>
      </c>
      <c r="D103" s="3" t="s">
        <v>303</v>
      </c>
      <c r="E103" s="3" t="s">
        <v>55</v>
      </c>
      <c r="F103" s="3" t="s">
        <v>33</v>
      </c>
      <c r="G103" s="3" t="str">
        <f aca="false">E103&amp;"-"&amp;F103</f>
        <v>Srinagar-April</v>
      </c>
      <c r="H103" s="3" t="n">
        <f aca="false">INDEX(Weather_Data!$K$2:$K$73,MATCH($G103,Weather_Data!$J$2:$J$73,0))</f>
        <v>15</v>
      </c>
      <c r="I103" s="3" t="n">
        <f aca="false">INDEX(Weather_Data!$L$2:$L$73,MATCH($G103,Weather_Data!$J$2:$J$73,0))</f>
        <v>50</v>
      </c>
      <c r="J103" s="3" t="n">
        <f aca="false">INDEX(Weather_Data!$M$2:$M$73,MATCH($G103,Weather_Data!$J$2:$J$73,0))</f>
        <v>2.5</v>
      </c>
      <c r="K103" s="3" t="n">
        <f aca="false">INDEX(Weather_Data!$P$2:$P$73,MATCH($G103,Weather_Data!$J$2:$J$73,0))</f>
        <v>208.333333333333</v>
      </c>
      <c r="L103" s="3" t="n">
        <f aca="false">INDEX(Weather_Data!$Q$2:$Q$73,MATCH($G103,Weather_Data!$J$2:$J$73,0))</f>
        <v>90</v>
      </c>
      <c r="M103" s="3" t="str">
        <f aca="false">INDEX(Shelter_Design!$I$2:$I$41,MATCH($B103,Shelter_Design!$A$2:$A$41,0))</f>
        <v>M06</v>
      </c>
      <c r="N103" s="3" t="n">
        <f aca="false">IFERROR(INDEX(Material_Properties!$D$2:$D$21,MATCH(M103,Material_Properties!$A$2:$A$21,0)),1)</f>
        <v>0.14</v>
      </c>
      <c r="O103" s="3" t="n">
        <f aca="false">INDEX(Shelter_Design!$M$2:$M$41,MATCH($B103,Shelter_Design!$A$2:$A$41,0))</f>
        <v>150</v>
      </c>
      <c r="P103" s="3" t="str">
        <f aca="false">INDEX(Shelter_Design!$L$2:$L$41,MATCH($B103,Shelter_Design!$A$2:$A$41,0))</f>
        <v>M10</v>
      </c>
      <c r="Q103" s="3" t="n">
        <f aca="false">IF(P103="None",0,IFERROR(INDEX(Material_Properties!$D$2:$D$21,MATCH(P103,Material_Properties!$A$2:$A$21,0)),0))</f>
        <v>0.038</v>
      </c>
      <c r="R103" s="3" t="n">
        <f aca="false">INDEX(Shelter_Design!$O$2:$O$41,MATCH($B103,Shelter_Design!$A$2:$A$41,0))</f>
        <v>50</v>
      </c>
      <c r="S103" s="3" t="n">
        <f aca="false">(O103/1000)/N103</f>
        <v>1.07142857142857</v>
      </c>
      <c r="T103" s="3" t="n">
        <f aca="false">IF(OR(P103="None",Q103=0),0,(R103/1000)/Q103)</f>
        <v>1.31578947368421</v>
      </c>
      <c r="U103" s="3" t="n">
        <v>0.17</v>
      </c>
      <c r="V103" s="3" t="n">
        <f aca="false">S103+T103+U103</f>
        <v>2.55721804511278</v>
      </c>
      <c r="W103" s="3" t="n">
        <f aca="false">1/V103</f>
        <v>0.391049954426509</v>
      </c>
      <c r="X103" s="3" t="n">
        <f aca="false">INDEX(Shelter_Design!$R$2:$R$41,MATCH($B103,Shelter_Design!$A$2:$A$41,0))</f>
        <v>35</v>
      </c>
      <c r="Y103" s="3" t="n">
        <f aca="false">INDEX(Shelter_Design!$P$2:$P$41,MATCH($B103,Shelter_Design!$A$2:$A$41,0))</f>
        <v>1.4</v>
      </c>
      <c r="Z103" s="3" t="n">
        <f aca="false">INDEX(Shelter_Design!$G$2:$G$41,MATCH($B103,Shelter_Design!$A$2:$A$41,0))</f>
        <v>31.85</v>
      </c>
      <c r="AA103" s="3" t="n">
        <f aca="false">INDEX(Shelter_Design!$S$2:$S$41,MATCH($B103,Shelter_Design!$A$2:$A$41,0))</f>
        <v>0.0384615384615385</v>
      </c>
      <c r="AB103" s="3" t="n">
        <f aca="false">INDEX(Shelter_Design!$Y$2:$Y$41,MATCH($B103,Shelter_Design!$A$2:$A$41,0))</f>
        <v>3</v>
      </c>
      <c r="AC103" s="3" t="str">
        <f aca="false">INDEX(Shelter_Design!$Z$2:$Z$41,MATCH($B103,Shelter_Design!$A$2:$A$41,0))</f>
        <v>Light-moderate</v>
      </c>
      <c r="AD103" s="3" t="n">
        <f aca="false">INDEX(Shelter_Design!$AA$2:$AA$41,MATCH($B103,Shelter_Design!$A$2:$A$41,0))</f>
        <v>1</v>
      </c>
      <c r="AE103" s="3" t="s">
        <v>304</v>
      </c>
    </row>
    <row r="104" customFormat="false" ht="15" hidden="false" customHeight="true" outlineLevel="0" collapsed="false">
      <c r="A104" s="3" t="s">
        <v>406</v>
      </c>
      <c r="B104" s="3" t="s">
        <v>275</v>
      </c>
      <c r="C104" s="3" t="s">
        <v>266</v>
      </c>
      <c r="D104" s="3" t="s">
        <v>303</v>
      </c>
      <c r="E104" s="3" t="s">
        <v>55</v>
      </c>
      <c r="F104" s="3" t="s">
        <v>42</v>
      </c>
      <c r="G104" s="3" t="str">
        <f aca="false">E104&amp;"-"&amp;F104</f>
        <v>Srinagar-July</v>
      </c>
      <c r="H104" s="3" t="n">
        <f aca="false">INDEX(Weather_Data!$K$2:$K$73,MATCH($G104,Weather_Data!$J$2:$J$73,0))</f>
        <v>26</v>
      </c>
      <c r="I104" s="3" t="n">
        <f aca="false">INDEX(Weather_Data!$L$2:$L$73,MATCH($G104,Weather_Data!$J$2:$J$73,0))</f>
        <v>60</v>
      </c>
      <c r="J104" s="3" t="n">
        <f aca="false">INDEX(Weather_Data!$M$2:$M$73,MATCH($G104,Weather_Data!$J$2:$J$73,0))</f>
        <v>1.8</v>
      </c>
      <c r="K104" s="3" t="n">
        <f aca="false">INDEX(Weather_Data!$P$2:$P$73,MATCH($G104,Weather_Data!$J$2:$J$73,0))</f>
        <v>208.333333333333</v>
      </c>
      <c r="L104" s="3" t="n">
        <f aca="false">INDEX(Weather_Data!$Q$2:$Q$73,MATCH($G104,Weather_Data!$J$2:$J$73,0))</f>
        <v>60</v>
      </c>
      <c r="M104" s="3" t="str">
        <f aca="false">INDEX(Shelter_Design!$I$2:$I$41,MATCH($B104,Shelter_Design!$A$2:$A$41,0))</f>
        <v>M06</v>
      </c>
      <c r="N104" s="3" t="n">
        <f aca="false">IFERROR(INDEX(Material_Properties!$D$2:$D$21,MATCH(M104,Material_Properties!$A$2:$A$21,0)),1)</f>
        <v>0.14</v>
      </c>
      <c r="O104" s="3" t="n">
        <f aca="false">INDEX(Shelter_Design!$M$2:$M$41,MATCH($B104,Shelter_Design!$A$2:$A$41,0))</f>
        <v>150</v>
      </c>
      <c r="P104" s="3" t="str">
        <f aca="false">INDEX(Shelter_Design!$L$2:$L$41,MATCH($B104,Shelter_Design!$A$2:$A$41,0))</f>
        <v>M10</v>
      </c>
      <c r="Q104" s="3" t="n">
        <f aca="false">IF(P104="None",0,IFERROR(INDEX(Material_Properties!$D$2:$D$21,MATCH(P104,Material_Properties!$A$2:$A$21,0)),0))</f>
        <v>0.038</v>
      </c>
      <c r="R104" s="3" t="n">
        <f aca="false">INDEX(Shelter_Design!$O$2:$O$41,MATCH($B104,Shelter_Design!$A$2:$A$41,0))</f>
        <v>50</v>
      </c>
      <c r="S104" s="3" t="n">
        <f aca="false">(O104/1000)/N104</f>
        <v>1.07142857142857</v>
      </c>
      <c r="T104" s="3" t="n">
        <f aca="false">IF(OR(P104="None",Q104=0),0,(R104/1000)/Q104)</f>
        <v>1.31578947368421</v>
      </c>
      <c r="U104" s="3" t="n">
        <v>0.17</v>
      </c>
      <c r="V104" s="3" t="n">
        <f aca="false">S104+T104+U104</f>
        <v>2.55721804511278</v>
      </c>
      <c r="W104" s="3" t="n">
        <f aca="false">1/V104</f>
        <v>0.391049954426509</v>
      </c>
      <c r="X104" s="3" t="n">
        <f aca="false">INDEX(Shelter_Design!$R$2:$R$41,MATCH($B104,Shelter_Design!$A$2:$A$41,0))</f>
        <v>35</v>
      </c>
      <c r="Y104" s="3" t="n">
        <f aca="false">INDEX(Shelter_Design!$P$2:$P$41,MATCH($B104,Shelter_Design!$A$2:$A$41,0))</f>
        <v>1.4</v>
      </c>
      <c r="Z104" s="3" t="n">
        <f aca="false">INDEX(Shelter_Design!$G$2:$G$41,MATCH($B104,Shelter_Design!$A$2:$A$41,0))</f>
        <v>31.85</v>
      </c>
      <c r="AA104" s="3" t="n">
        <f aca="false">INDEX(Shelter_Design!$S$2:$S$41,MATCH($B104,Shelter_Design!$A$2:$A$41,0))</f>
        <v>0.0384615384615385</v>
      </c>
      <c r="AB104" s="3" t="n">
        <f aca="false">INDEX(Shelter_Design!$Y$2:$Y$41,MATCH($B104,Shelter_Design!$A$2:$A$41,0))</f>
        <v>3</v>
      </c>
      <c r="AC104" s="3" t="str">
        <f aca="false">INDEX(Shelter_Design!$Z$2:$Z$41,MATCH($B104,Shelter_Design!$A$2:$A$41,0))</f>
        <v>Light-moderate</v>
      </c>
      <c r="AD104" s="3" t="n">
        <f aca="false">INDEX(Shelter_Design!$AA$2:$AA$41,MATCH($B104,Shelter_Design!$A$2:$A$41,0))</f>
        <v>1</v>
      </c>
      <c r="AE104" s="3" t="s">
        <v>304</v>
      </c>
    </row>
    <row r="105" customFormat="false" ht="15" hidden="false" customHeight="true" outlineLevel="0" collapsed="false">
      <c r="A105" s="3" t="s">
        <v>407</v>
      </c>
      <c r="B105" s="3" t="s">
        <v>275</v>
      </c>
      <c r="C105" s="3" t="s">
        <v>266</v>
      </c>
      <c r="D105" s="3" t="s">
        <v>303</v>
      </c>
      <c r="E105" s="3" t="s">
        <v>55</v>
      </c>
      <c r="F105" s="3" t="s">
        <v>46</v>
      </c>
      <c r="G105" s="3" t="str">
        <f aca="false">E105&amp;"-"&amp;F105</f>
        <v>Srinagar-September</v>
      </c>
      <c r="H105" s="3" t="n">
        <f aca="false">INDEX(Weather_Data!$K$2:$K$73,MATCH($G105,Weather_Data!$J$2:$J$73,0))</f>
        <v>22</v>
      </c>
      <c r="I105" s="3" t="n">
        <f aca="false">INDEX(Weather_Data!$L$2:$L$73,MATCH($G105,Weather_Data!$J$2:$J$73,0))</f>
        <v>55</v>
      </c>
      <c r="J105" s="3" t="n">
        <f aca="false">INDEX(Weather_Data!$M$2:$M$73,MATCH($G105,Weather_Data!$J$2:$J$73,0))</f>
        <v>1.8</v>
      </c>
      <c r="K105" s="3" t="n">
        <f aca="false">INDEX(Weather_Data!$P$2:$P$73,MATCH($G105,Weather_Data!$J$2:$J$73,0))</f>
        <v>187.5</v>
      </c>
      <c r="L105" s="3" t="n">
        <f aca="false">INDEX(Weather_Data!$Q$2:$Q$73,MATCH($G105,Weather_Data!$J$2:$J$73,0))</f>
        <v>50</v>
      </c>
      <c r="M105" s="3" t="str">
        <f aca="false">INDEX(Shelter_Design!$I$2:$I$41,MATCH($B105,Shelter_Design!$A$2:$A$41,0))</f>
        <v>M06</v>
      </c>
      <c r="N105" s="3" t="n">
        <f aca="false">IFERROR(INDEX(Material_Properties!$D$2:$D$21,MATCH(M105,Material_Properties!$A$2:$A$21,0)),1)</f>
        <v>0.14</v>
      </c>
      <c r="O105" s="3" t="n">
        <f aca="false">INDEX(Shelter_Design!$M$2:$M$41,MATCH($B105,Shelter_Design!$A$2:$A$41,0))</f>
        <v>150</v>
      </c>
      <c r="P105" s="3" t="str">
        <f aca="false">INDEX(Shelter_Design!$L$2:$L$41,MATCH($B105,Shelter_Design!$A$2:$A$41,0))</f>
        <v>M10</v>
      </c>
      <c r="Q105" s="3" t="n">
        <f aca="false">IF(P105="None",0,IFERROR(INDEX(Material_Properties!$D$2:$D$21,MATCH(P105,Material_Properties!$A$2:$A$21,0)),0))</f>
        <v>0.038</v>
      </c>
      <c r="R105" s="3" t="n">
        <f aca="false">INDEX(Shelter_Design!$O$2:$O$41,MATCH($B105,Shelter_Design!$A$2:$A$41,0))</f>
        <v>50</v>
      </c>
      <c r="S105" s="3" t="n">
        <f aca="false">(O105/1000)/N105</f>
        <v>1.07142857142857</v>
      </c>
      <c r="T105" s="3" t="n">
        <f aca="false">IF(OR(P105="None",Q105=0),0,(R105/1000)/Q105)</f>
        <v>1.31578947368421</v>
      </c>
      <c r="U105" s="3" t="n">
        <v>0.17</v>
      </c>
      <c r="V105" s="3" t="n">
        <f aca="false">S105+T105+U105</f>
        <v>2.55721804511278</v>
      </c>
      <c r="W105" s="3" t="n">
        <f aca="false">1/V105</f>
        <v>0.391049954426509</v>
      </c>
      <c r="X105" s="3" t="n">
        <f aca="false">INDEX(Shelter_Design!$R$2:$R$41,MATCH($B105,Shelter_Design!$A$2:$A$41,0))</f>
        <v>35</v>
      </c>
      <c r="Y105" s="3" t="n">
        <f aca="false">INDEX(Shelter_Design!$P$2:$P$41,MATCH($B105,Shelter_Design!$A$2:$A$41,0))</f>
        <v>1.4</v>
      </c>
      <c r="Z105" s="3" t="n">
        <f aca="false">INDEX(Shelter_Design!$G$2:$G$41,MATCH($B105,Shelter_Design!$A$2:$A$41,0))</f>
        <v>31.85</v>
      </c>
      <c r="AA105" s="3" t="n">
        <f aca="false">INDEX(Shelter_Design!$S$2:$S$41,MATCH($B105,Shelter_Design!$A$2:$A$41,0))</f>
        <v>0.0384615384615385</v>
      </c>
      <c r="AB105" s="3" t="n">
        <f aca="false">INDEX(Shelter_Design!$Y$2:$Y$41,MATCH($B105,Shelter_Design!$A$2:$A$41,0))</f>
        <v>3</v>
      </c>
      <c r="AC105" s="3" t="str">
        <f aca="false">INDEX(Shelter_Design!$Z$2:$Z$41,MATCH($B105,Shelter_Design!$A$2:$A$41,0))</f>
        <v>Light-moderate</v>
      </c>
      <c r="AD105" s="3" t="n">
        <f aca="false">INDEX(Shelter_Design!$AA$2:$AA$41,MATCH($B105,Shelter_Design!$A$2:$A$41,0))</f>
        <v>1</v>
      </c>
      <c r="AE105" s="3" t="s">
        <v>304</v>
      </c>
    </row>
    <row r="106" customFormat="false" ht="15" hidden="false" customHeight="true" outlineLevel="0" collapsed="false">
      <c r="A106" s="3" t="s">
        <v>408</v>
      </c>
      <c r="B106" s="3" t="s">
        <v>275</v>
      </c>
      <c r="C106" s="3" t="s">
        <v>266</v>
      </c>
      <c r="D106" s="3" t="s">
        <v>303</v>
      </c>
      <c r="E106" s="3" t="s">
        <v>55</v>
      </c>
      <c r="F106" s="3" t="s">
        <v>51</v>
      </c>
      <c r="G106" s="3" t="str">
        <f aca="false">E106&amp;"-"&amp;F106</f>
        <v>Srinagar-November</v>
      </c>
      <c r="H106" s="3" t="n">
        <f aca="false">INDEX(Weather_Data!$K$2:$K$73,MATCH($G106,Weather_Data!$J$2:$J$73,0))</f>
        <v>10</v>
      </c>
      <c r="I106" s="3" t="n">
        <f aca="false">INDEX(Weather_Data!$L$2:$L$73,MATCH($G106,Weather_Data!$J$2:$J$73,0))</f>
        <v>50</v>
      </c>
      <c r="J106" s="3" t="n">
        <f aca="false">INDEX(Weather_Data!$M$2:$M$73,MATCH($G106,Weather_Data!$J$2:$J$73,0))</f>
        <v>1.5</v>
      </c>
      <c r="K106" s="3" t="n">
        <f aca="false">INDEX(Weather_Data!$P$2:$P$73,MATCH($G106,Weather_Data!$J$2:$J$73,0))</f>
        <v>125</v>
      </c>
      <c r="L106" s="3" t="n">
        <f aca="false">INDEX(Weather_Data!$Q$2:$Q$73,MATCH($G106,Weather_Data!$J$2:$J$73,0))</f>
        <v>30</v>
      </c>
      <c r="M106" s="3" t="str">
        <f aca="false">INDEX(Shelter_Design!$I$2:$I$41,MATCH($B106,Shelter_Design!$A$2:$A$41,0))</f>
        <v>M06</v>
      </c>
      <c r="N106" s="3" t="n">
        <f aca="false">IFERROR(INDEX(Material_Properties!$D$2:$D$21,MATCH(M106,Material_Properties!$A$2:$A$21,0)),1)</f>
        <v>0.14</v>
      </c>
      <c r="O106" s="3" t="n">
        <f aca="false">INDEX(Shelter_Design!$M$2:$M$41,MATCH($B106,Shelter_Design!$A$2:$A$41,0))</f>
        <v>150</v>
      </c>
      <c r="P106" s="3" t="str">
        <f aca="false">INDEX(Shelter_Design!$L$2:$L$41,MATCH($B106,Shelter_Design!$A$2:$A$41,0))</f>
        <v>M10</v>
      </c>
      <c r="Q106" s="3" t="n">
        <f aca="false">IF(P106="None",0,IFERROR(INDEX(Material_Properties!$D$2:$D$21,MATCH(P106,Material_Properties!$A$2:$A$21,0)),0))</f>
        <v>0.038</v>
      </c>
      <c r="R106" s="3" t="n">
        <f aca="false">INDEX(Shelter_Design!$O$2:$O$41,MATCH($B106,Shelter_Design!$A$2:$A$41,0))</f>
        <v>50</v>
      </c>
      <c r="S106" s="3" t="n">
        <f aca="false">(O106/1000)/N106</f>
        <v>1.07142857142857</v>
      </c>
      <c r="T106" s="3" t="n">
        <f aca="false">IF(OR(P106="None",Q106=0),0,(R106/1000)/Q106)</f>
        <v>1.31578947368421</v>
      </c>
      <c r="U106" s="3" t="n">
        <v>0.17</v>
      </c>
      <c r="V106" s="3" t="n">
        <f aca="false">S106+T106+U106</f>
        <v>2.55721804511278</v>
      </c>
      <c r="W106" s="3" t="n">
        <f aca="false">1/V106</f>
        <v>0.391049954426509</v>
      </c>
      <c r="X106" s="3" t="n">
        <f aca="false">INDEX(Shelter_Design!$R$2:$R$41,MATCH($B106,Shelter_Design!$A$2:$A$41,0))</f>
        <v>35</v>
      </c>
      <c r="Y106" s="3" t="n">
        <f aca="false">INDEX(Shelter_Design!$P$2:$P$41,MATCH($B106,Shelter_Design!$A$2:$A$41,0))</f>
        <v>1.4</v>
      </c>
      <c r="Z106" s="3" t="n">
        <f aca="false">INDEX(Shelter_Design!$G$2:$G$41,MATCH($B106,Shelter_Design!$A$2:$A$41,0))</f>
        <v>31.85</v>
      </c>
      <c r="AA106" s="3" t="n">
        <f aca="false">INDEX(Shelter_Design!$S$2:$S$41,MATCH($B106,Shelter_Design!$A$2:$A$41,0))</f>
        <v>0.0384615384615385</v>
      </c>
      <c r="AB106" s="3" t="n">
        <f aca="false">INDEX(Shelter_Design!$Y$2:$Y$41,MATCH($B106,Shelter_Design!$A$2:$A$41,0))</f>
        <v>3</v>
      </c>
      <c r="AC106" s="3" t="str">
        <f aca="false">INDEX(Shelter_Design!$Z$2:$Z$41,MATCH($B106,Shelter_Design!$A$2:$A$41,0))</f>
        <v>Light-moderate</v>
      </c>
      <c r="AD106" s="3" t="n">
        <f aca="false">INDEX(Shelter_Design!$AA$2:$AA$41,MATCH($B106,Shelter_Design!$A$2:$A$41,0))</f>
        <v>1</v>
      </c>
      <c r="AE106" s="3" t="s">
        <v>304</v>
      </c>
    </row>
    <row r="107" customFormat="false" ht="15" hidden="false" customHeight="true" outlineLevel="0" collapsed="false">
      <c r="A107" s="3" t="s">
        <v>409</v>
      </c>
      <c r="B107" s="3" t="s">
        <v>276</v>
      </c>
      <c r="C107" s="3" t="s">
        <v>266</v>
      </c>
      <c r="D107" s="3" t="s">
        <v>303</v>
      </c>
      <c r="E107" s="3" t="s">
        <v>55</v>
      </c>
      <c r="F107" s="3" t="s">
        <v>22</v>
      </c>
      <c r="G107" s="3" t="str">
        <f aca="false">E107&amp;"-"&amp;F107</f>
        <v>Srinagar-January</v>
      </c>
      <c r="H107" s="3" t="n">
        <f aca="false">INDEX(Weather_Data!$K$2:$K$73,MATCH($G107,Weather_Data!$J$2:$J$73,0))</f>
        <v>3</v>
      </c>
      <c r="I107" s="3" t="n">
        <f aca="false">INDEX(Weather_Data!$L$2:$L$73,MATCH($G107,Weather_Data!$J$2:$J$73,0))</f>
        <v>55</v>
      </c>
      <c r="J107" s="3" t="n">
        <f aca="false">INDEX(Weather_Data!$M$2:$M$73,MATCH($G107,Weather_Data!$J$2:$J$73,0))</f>
        <v>1.5</v>
      </c>
      <c r="K107" s="3" t="n">
        <f aca="false">INDEX(Weather_Data!$P$2:$P$73,MATCH($G107,Weather_Data!$J$2:$J$73,0))</f>
        <v>104.166666666667</v>
      </c>
      <c r="L107" s="3" t="n">
        <f aca="false">INDEX(Weather_Data!$Q$2:$Q$73,MATCH($G107,Weather_Data!$J$2:$J$73,0))</f>
        <v>70</v>
      </c>
      <c r="M107" s="3" t="str">
        <f aca="false">INDEX(Shelter_Design!$I$2:$I$41,MATCH($B107,Shelter_Design!$A$2:$A$41,0))</f>
        <v>M06</v>
      </c>
      <c r="N107" s="3" t="n">
        <f aca="false">IFERROR(INDEX(Material_Properties!$D$2:$D$21,MATCH(M107,Material_Properties!$A$2:$A$21,0)),1)</f>
        <v>0.14</v>
      </c>
      <c r="O107" s="3" t="n">
        <f aca="false">INDEX(Shelter_Design!$M$2:$M$41,MATCH($B107,Shelter_Design!$A$2:$A$41,0))</f>
        <v>150</v>
      </c>
      <c r="P107" s="3" t="str">
        <f aca="false">INDEX(Shelter_Design!$L$2:$L$41,MATCH($B107,Shelter_Design!$A$2:$A$41,0))</f>
        <v>M10</v>
      </c>
      <c r="Q107" s="3" t="n">
        <f aca="false">IF(P107="None",0,IFERROR(INDEX(Material_Properties!$D$2:$D$21,MATCH(P107,Material_Properties!$A$2:$A$21,0)),0))</f>
        <v>0.038</v>
      </c>
      <c r="R107" s="3" t="n">
        <f aca="false">INDEX(Shelter_Design!$O$2:$O$41,MATCH($B107,Shelter_Design!$A$2:$A$41,0))</f>
        <v>50</v>
      </c>
      <c r="S107" s="3" t="n">
        <f aca="false">(O107/1000)/N107</f>
        <v>1.07142857142857</v>
      </c>
      <c r="T107" s="3" t="n">
        <f aca="false">IF(OR(P107="None",Q107=0),0,(R107/1000)/Q107)</f>
        <v>1.31578947368421</v>
      </c>
      <c r="U107" s="3" t="n">
        <v>0.17</v>
      </c>
      <c r="V107" s="3" t="n">
        <f aca="false">S107+T107+U107</f>
        <v>2.55721804511278</v>
      </c>
      <c r="W107" s="3" t="n">
        <f aca="false">1/V107</f>
        <v>0.391049954426509</v>
      </c>
      <c r="X107" s="3" t="n">
        <f aca="false">INDEX(Shelter_Design!$R$2:$R$41,MATCH($B107,Shelter_Design!$A$2:$A$41,0))</f>
        <v>49.3</v>
      </c>
      <c r="Y107" s="3" t="n">
        <f aca="false">INDEX(Shelter_Design!$P$2:$P$41,MATCH($B107,Shelter_Design!$A$2:$A$41,0))</f>
        <v>2</v>
      </c>
      <c r="Z107" s="3" t="n">
        <f aca="false">INDEX(Shelter_Design!$G$2:$G$41,MATCH($B107,Shelter_Design!$A$2:$A$41,0))</f>
        <v>60.75</v>
      </c>
      <c r="AA107" s="3" t="n">
        <f aca="false">INDEX(Shelter_Design!$S$2:$S$41,MATCH($B107,Shelter_Design!$A$2:$A$41,0))</f>
        <v>0.0389863547758285</v>
      </c>
      <c r="AB107" s="3" t="n">
        <f aca="false">INDEX(Shelter_Design!$Y$2:$Y$41,MATCH($B107,Shelter_Design!$A$2:$A$41,0))</f>
        <v>6</v>
      </c>
      <c r="AC107" s="3" t="str">
        <f aca="false">INDEX(Shelter_Design!$Z$2:$Z$41,MATCH($B107,Shelter_Design!$A$2:$A$41,0))</f>
        <v>Light-moderate</v>
      </c>
      <c r="AD107" s="3" t="n">
        <f aca="false">INDEX(Shelter_Design!$AA$2:$AA$41,MATCH($B107,Shelter_Design!$A$2:$A$41,0))</f>
        <v>1</v>
      </c>
      <c r="AE107" s="3" t="s">
        <v>304</v>
      </c>
    </row>
    <row r="108" customFormat="false" ht="15" hidden="false" customHeight="true" outlineLevel="0" collapsed="false">
      <c r="A108" s="3" t="s">
        <v>410</v>
      </c>
      <c r="B108" s="3" t="s">
        <v>276</v>
      </c>
      <c r="C108" s="3" t="s">
        <v>266</v>
      </c>
      <c r="D108" s="3" t="s">
        <v>303</v>
      </c>
      <c r="E108" s="3" t="s">
        <v>55</v>
      </c>
      <c r="F108" s="3" t="s">
        <v>33</v>
      </c>
      <c r="G108" s="3" t="str">
        <f aca="false">E108&amp;"-"&amp;F108</f>
        <v>Srinagar-April</v>
      </c>
      <c r="H108" s="3" t="n">
        <f aca="false">INDEX(Weather_Data!$K$2:$K$73,MATCH($G108,Weather_Data!$J$2:$J$73,0))</f>
        <v>15</v>
      </c>
      <c r="I108" s="3" t="n">
        <f aca="false">INDEX(Weather_Data!$L$2:$L$73,MATCH($G108,Weather_Data!$J$2:$J$73,0))</f>
        <v>50</v>
      </c>
      <c r="J108" s="3" t="n">
        <f aca="false">INDEX(Weather_Data!$M$2:$M$73,MATCH($G108,Weather_Data!$J$2:$J$73,0))</f>
        <v>2.5</v>
      </c>
      <c r="K108" s="3" t="n">
        <f aca="false">INDEX(Weather_Data!$P$2:$P$73,MATCH($G108,Weather_Data!$J$2:$J$73,0))</f>
        <v>208.333333333333</v>
      </c>
      <c r="L108" s="3" t="n">
        <f aca="false">INDEX(Weather_Data!$Q$2:$Q$73,MATCH($G108,Weather_Data!$J$2:$J$73,0))</f>
        <v>90</v>
      </c>
      <c r="M108" s="3" t="str">
        <f aca="false">INDEX(Shelter_Design!$I$2:$I$41,MATCH($B108,Shelter_Design!$A$2:$A$41,0))</f>
        <v>M06</v>
      </c>
      <c r="N108" s="3" t="n">
        <f aca="false">IFERROR(INDEX(Material_Properties!$D$2:$D$21,MATCH(M108,Material_Properties!$A$2:$A$21,0)),1)</f>
        <v>0.14</v>
      </c>
      <c r="O108" s="3" t="n">
        <f aca="false">INDEX(Shelter_Design!$M$2:$M$41,MATCH($B108,Shelter_Design!$A$2:$A$41,0))</f>
        <v>150</v>
      </c>
      <c r="P108" s="3" t="str">
        <f aca="false">INDEX(Shelter_Design!$L$2:$L$41,MATCH($B108,Shelter_Design!$A$2:$A$41,0))</f>
        <v>M10</v>
      </c>
      <c r="Q108" s="3" t="n">
        <f aca="false">IF(P108="None",0,IFERROR(INDEX(Material_Properties!$D$2:$D$21,MATCH(P108,Material_Properties!$A$2:$A$21,0)),0))</f>
        <v>0.038</v>
      </c>
      <c r="R108" s="3" t="n">
        <f aca="false">INDEX(Shelter_Design!$O$2:$O$41,MATCH($B108,Shelter_Design!$A$2:$A$41,0))</f>
        <v>50</v>
      </c>
      <c r="S108" s="3" t="n">
        <f aca="false">(O108/1000)/N108</f>
        <v>1.07142857142857</v>
      </c>
      <c r="T108" s="3" t="n">
        <f aca="false">IF(OR(P108="None",Q108=0),0,(R108/1000)/Q108)</f>
        <v>1.31578947368421</v>
      </c>
      <c r="U108" s="3" t="n">
        <v>0.17</v>
      </c>
      <c r="V108" s="3" t="n">
        <f aca="false">S108+T108+U108</f>
        <v>2.55721804511278</v>
      </c>
      <c r="W108" s="3" t="n">
        <f aca="false">1/V108</f>
        <v>0.391049954426509</v>
      </c>
      <c r="X108" s="3" t="n">
        <f aca="false">INDEX(Shelter_Design!$R$2:$R$41,MATCH($B108,Shelter_Design!$A$2:$A$41,0))</f>
        <v>49.3</v>
      </c>
      <c r="Y108" s="3" t="n">
        <f aca="false">INDEX(Shelter_Design!$P$2:$P$41,MATCH($B108,Shelter_Design!$A$2:$A$41,0))</f>
        <v>2</v>
      </c>
      <c r="Z108" s="3" t="n">
        <f aca="false">INDEX(Shelter_Design!$G$2:$G$41,MATCH($B108,Shelter_Design!$A$2:$A$41,0))</f>
        <v>60.75</v>
      </c>
      <c r="AA108" s="3" t="n">
        <f aca="false">INDEX(Shelter_Design!$S$2:$S$41,MATCH($B108,Shelter_Design!$A$2:$A$41,0))</f>
        <v>0.0389863547758285</v>
      </c>
      <c r="AB108" s="3" t="n">
        <f aca="false">INDEX(Shelter_Design!$Y$2:$Y$41,MATCH($B108,Shelter_Design!$A$2:$A$41,0))</f>
        <v>6</v>
      </c>
      <c r="AC108" s="3" t="str">
        <f aca="false">INDEX(Shelter_Design!$Z$2:$Z$41,MATCH($B108,Shelter_Design!$A$2:$A$41,0))</f>
        <v>Light-moderate</v>
      </c>
      <c r="AD108" s="3" t="n">
        <f aca="false">INDEX(Shelter_Design!$AA$2:$AA$41,MATCH($B108,Shelter_Design!$A$2:$A$41,0))</f>
        <v>1</v>
      </c>
      <c r="AE108" s="3" t="s">
        <v>304</v>
      </c>
    </row>
    <row r="109" customFormat="false" ht="15" hidden="false" customHeight="true" outlineLevel="0" collapsed="false">
      <c r="A109" s="3" t="s">
        <v>411</v>
      </c>
      <c r="B109" s="3" t="s">
        <v>276</v>
      </c>
      <c r="C109" s="3" t="s">
        <v>266</v>
      </c>
      <c r="D109" s="3" t="s">
        <v>303</v>
      </c>
      <c r="E109" s="3" t="s">
        <v>55</v>
      </c>
      <c r="F109" s="3" t="s">
        <v>42</v>
      </c>
      <c r="G109" s="3" t="str">
        <f aca="false">E109&amp;"-"&amp;F109</f>
        <v>Srinagar-July</v>
      </c>
      <c r="H109" s="3" t="n">
        <f aca="false">INDEX(Weather_Data!$K$2:$K$73,MATCH($G109,Weather_Data!$J$2:$J$73,0))</f>
        <v>26</v>
      </c>
      <c r="I109" s="3" t="n">
        <f aca="false">INDEX(Weather_Data!$L$2:$L$73,MATCH($G109,Weather_Data!$J$2:$J$73,0))</f>
        <v>60</v>
      </c>
      <c r="J109" s="3" t="n">
        <f aca="false">INDEX(Weather_Data!$M$2:$M$73,MATCH($G109,Weather_Data!$J$2:$J$73,0))</f>
        <v>1.8</v>
      </c>
      <c r="K109" s="3" t="n">
        <f aca="false">INDEX(Weather_Data!$P$2:$P$73,MATCH($G109,Weather_Data!$J$2:$J$73,0))</f>
        <v>208.333333333333</v>
      </c>
      <c r="L109" s="3" t="n">
        <f aca="false">INDEX(Weather_Data!$Q$2:$Q$73,MATCH($G109,Weather_Data!$J$2:$J$73,0))</f>
        <v>60</v>
      </c>
      <c r="M109" s="3" t="str">
        <f aca="false">INDEX(Shelter_Design!$I$2:$I$41,MATCH($B109,Shelter_Design!$A$2:$A$41,0))</f>
        <v>M06</v>
      </c>
      <c r="N109" s="3" t="n">
        <f aca="false">IFERROR(INDEX(Material_Properties!$D$2:$D$21,MATCH(M109,Material_Properties!$A$2:$A$21,0)),1)</f>
        <v>0.14</v>
      </c>
      <c r="O109" s="3" t="n">
        <f aca="false">INDEX(Shelter_Design!$M$2:$M$41,MATCH($B109,Shelter_Design!$A$2:$A$41,0))</f>
        <v>150</v>
      </c>
      <c r="P109" s="3" t="str">
        <f aca="false">INDEX(Shelter_Design!$L$2:$L$41,MATCH($B109,Shelter_Design!$A$2:$A$41,0))</f>
        <v>M10</v>
      </c>
      <c r="Q109" s="3" t="n">
        <f aca="false">IF(P109="None",0,IFERROR(INDEX(Material_Properties!$D$2:$D$21,MATCH(P109,Material_Properties!$A$2:$A$21,0)),0))</f>
        <v>0.038</v>
      </c>
      <c r="R109" s="3" t="n">
        <f aca="false">INDEX(Shelter_Design!$O$2:$O$41,MATCH($B109,Shelter_Design!$A$2:$A$41,0))</f>
        <v>50</v>
      </c>
      <c r="S109" s="3" t="n">
        <f aca="false">(O109/1000)/N109</f>
        <v>1.07142857142857</v>
      </c>
      <c r="T109" s="3" t="n">
        <f aca="false">IF(OR(P109="None",Q109=0),0,(R109/1000)/Q109)</f>
        <v>1.31578947368421</v>
      </c>
      <c r="U109" s="3" t="n">
        <v>0.17</v>
      </c>
      <c r="V109" s="3" t="n">
        <f aca="false">S109+T109+U109</f>
        <v>2.55721804511278</v>
      </c>
      <c r="W109" s="3" t="n">
        <f aca="false">1/V109</f>
        <v>0.391049954426509</v>
      </c>
      <c r="X109" s="3" t="n">
        <f aca="false">INDEX(Shelter_Design!$R$2:$R$41,MATCH($B109,Shelter_Design!$A$2:$A$41,0))</f>
        <v>49.3</v>
      </c>
      <c r="Y109" s="3" t="n">
        <f aca="false">INDEX(Shelter_Design!$P$2:$P$41,MATCH($B109,Shelter_Design!$A$2:$A$41,0))</f>
        <v>2</v>
      </c>
      <c r="Z109" s="3" t="n">
        <f aca="false">INDEX(Shelter_Design!$G$2:$G$41,MATCH($B109,Shelter_Design!$A$2:$A$41,0))</f>
        <v>60.75</v>
      </c>
      <c r="AA109" s="3" t="n">
        <f aca="false">INDEX(Shelter_Design!$S$2:$S$41,MATCH($B109,Shelter_Design!$A$2:$A$41,0))</f>
        <v>0.0389863547758285</v>
      </c>
      <c r="AB109" s="3" t="n">
        <f aca="false">INDEX(Shelter_Design!$Y$2:$Y$41,MATCH($B109,Shelter_Design!$A$2:$A$41,0))</f>
        <v>6</v>
      </c>
      <c r="AC109" s="3" t="str">
        <f aca="false">INDEX(Shelter_Design!$Z$2:$Z$41,MATCH($B109,Shelter_Design!$A$2:$A$41,0))</f>
        <v>Light-moderate</v>
      </c>
      <c r="AD109" s="3" t="n">
        <f aca="false">INDEX(Shelter_Design!$AA$2:$AA$41,MATCH($B109,Shelter_Design!$A$2:$A$41,0))</f>
        <v>1</v>
      </c>
      <c r="AE109" s="3" t="s">
        <v>304</v>
      </c>
    </row>
    <row r="110" customFormat="false" ht="15" hidden="false" customHeight="true" outlineLevel="0" collapsed="false">
      <c r="A110" s="3" t="s">
        <v>412</v>
      </c>
      <c r="B110" s="3" t="s">
        <v>276</v>
      </c>
      <c r="C110" s="3" t="s">
        <v>266</v>
      </c>
      <c r="D110" s="3" t="s">
        <v>303</v>
      </c>
      <c r="E110" s="3" t="s">
        <v>55</v>
      </c>
      <c r="F110" s="3" t="s">
        <v>46</v>
      </c>
      <c r="G110" s="3" t="str">
        <f aca="false">E110&amp;"-"&amp;F110</f>
        <v>Srinagar-September</v>
      </c>
      <c r="H110" s="3" t="n">
        <f aca="false">INDEX(Weather_Data!$K$2:$K$73,MATCH($G110,Weather_Data!$J$2:$J$73,0))</f>
        <v>22</v>
      </c>
      <c r="I110" s="3" t="n">
        <f aca="false">INDEX(Weather_Data!$L$2:$L$73,MATCH($G110,Weather_Data!$J$2:$J$73,0))</f>
        <v>55</v>
      </c>
      <c r="J110" s="3" t="n">
        <f aca="false">INDEX(Weather_Data!$M$2:$M$73,MATCH($G110,Weather_Data!$J$2:$J$73,0))</f>
        <v>1.8</v>
      </c>
      <c r="K110" s="3" t="n">
        <f aca="false">INDEX(Weather_Data!$P$2:$P$73,MATCH($G110,Weather_Data!$J$2:$J$73,0))</f>
        <v>187.5</v>
      </c>
      <c r="L110" s="3" t="n">
        <f aca="false">INDEX(Weather_Data!$Q$2:$Q$73,MATCH($G110,Weather_Data!$J$2:$J$73,0))</f>
        <v>50</v>
      </c>
      <c r="M110" s="3" t="str">
        <f aca="false">INDEX(Shelter_Design!$I$2:$I$41,MATCH($B110,Shelter_Design!$A$2:$A$41,0))</f>
        <v>M06</v>
      </c>
      <c r="N110" s="3" t="n">
        <f aca="false">IFERROR(INDEX(Material_Properties!$D$2:$D$21,MATCH(M110,Material_Properties!$A$2:$A$21,0)),1)</f>
        <v>0.14</v>
      </c>
      <c r="O110" s="3" t="n">
        <f aca="false">INDEX(Shelter_Design!$M$2:$M$41,MATCH($B110,Shelter_Design!$A$2:$A$41,0))</f>
        <v>150</v>
      </c>
      <c r="P110" s="3" t="str">
        <f aca="false">INDEX(Shelter_Design!$L$2:$L$41,MATCH($B110,Shelter_Design!$A$2:$A$41,0))</f>
        <v>M10</v>
      </c>
      <c r="Q110" s="3" t="n">
        <f aca="false">IF(P110="None",0,IFERROR(INDEX(Material_Properties!$D$2:$D$21,MATCH(P110,Material_Properties!$A$2:$A$21,0)),0))</f>
        <v>0.038</v>
      </c>
      <c r="R110" s="3" t="n">
        <f aca="false">INDEX(Shelter_Design!$O$2:$O$41,MATCH($B110,Shelter_Design!$A$2:$A$41,0))</f>
        <v>50</v>
      </c>
      <c r="S110" s="3" t="n">
        <f aca="false">(O110/1000)/N110</f>
        <v>1.07142857142857</v>
      </c>
      <c r="T110" s="3" t="n">
        <f aca="false">IF(OR(P110="None",Q110=0),0,(R110/1000)/Q110)</f>
        <v>1.31578947368421</v>
      </c>
      <c r="U110" s="3" t="n">
        <v>0.17</v>
      </c>
      <c r="V110" s="3" t="n">
        <f aca="false">S110+T110+U110</f>
        <v>2.55721804511278</v>
      </c>
      <c r="W110" s="3" t="n">
        <f aca="false">1/V110</f>
        <v>0.391049954426509</v>
      </c>
      <c r="X110" s="3" t="n">
        <f aca="false">INDEX(Shelter_Design!$R$2:$R$41,MATCH($B110,Shelter_Design!$A$2:$A$41,0))</f>
        <v>49.3</v>
      </c>
      <c r="Y110" s="3" t="n">
        <f aca="false">INDEX(Shelter_Design!$P$2:$P$41,MATCH($B110,Shelter_Design!$A$2:$A$41,0))</f>
        <v>2</v>
      </c>
      <c r="Z110" s="3" t="n">
        <f aca="false">INDEX(Shelter_Design!$G$2:$G$41,MATCH($B110,Shelter_Design!$A$2:$A$41,0))</f>
        <v>60.75</v>
      </c>
      <c r="AA110" s="3" t="n">
        <f aca="false">INDEX(Shelter_Design!$S$2:$S$41,MATCH($B110,Shelter_Design!$A$2:$A$41,0))</f>
        <v>0.0389863547758285</v>
      </c>
      <c r="AB110" s="3" t="n">
        <f aca="false">INDEX(Shelter_Design!$Y$2:$Y$41,MATCH($B110,Shelter_Design!$A$2:$A$41,0))</f>
        <v>6</v>
      </c>
      <c r="AC110" s="3" t="str">
        <f aca="false">INDEX(Shelter_Design!$Z$2:$Z$41,MATCH($B110,Shelter_Design!$A$2:$A$41,0))</f>
        <v>Light-moderate</v>
      </c>
      <c r="AD110" s="3" t="n">
        <f aca="false">INDEX(Shelter_Design!$AA$2:$AA$41,MATCH($B110,Shelter_Design!$A$2:$A$41,0))</f>
        <v>1</v>
      </c>
      <c r="AE110" s="3" t="s">
        <v>304</v>
      </c>
    </row>
    <row r="111" customFormat="false" ht="15" hidden="false" customHeight="true" outlineLevel="0" collapsed="false">
      <c r="A111" s="3" t="s">
        <v>413</v>
      </c>
      <c r="B111" s="3" t="s">
        <v>276</v>
      </c>
      <c r="C111" s="3" t="s">
        <v>266</v>
      </c>
      <c r="D111" s="3" t="s">
        <v>303</v>
      </c>
      <c r="E111" s="3" t="s">
        <v>55</v>
      </c>
      <c r="F111" s="3" t="s">
        <v>51</v>
      </c>
      <c r="G111" s="3" t="str">
        <f aca="false">E111&amp;"-"&amp;F111</f>
        <v>Srinagar-November</v>
      </c>
      <c r="H111" s="3" t="n">
        <f aca="false">INDEX(Weather_Data!$K$2:$K$73,MATCH($G111,Weather_Data!$J$2:$J$73,0))</f>
        <v>10</v>
      </c>
      <c r="I111" s="3" t="n">
        <f aca="false">INDEX(Weather_Data!$L$2:$L$73,MATCH($G111,Weather_Data!$J$2:$J$73,0))</f>
        <v>50</v>
      </c>
      <c r="J111" s="3" t="n">
        <f aca="false">INDEX(Weather_Data!$M$2:$M$73,MATCH($G111,Weather_Data!$J$2:$J$73,0))</f>
        <v>1.5</v>
      </c>
      <c r="K111" s="3" t="n">
        <f aca="false">INDEX(Weather_Data!$P$2:$P$73,MATCH($G111,Weather_Data!$J$2:$J$73,0))</f>
        <v>125</v>
      </c>
      <c r="L111" s="3" t="n">
        <f aca="false">INDEX(Weather_Data!$Q$2:$Q$73,MATCH($G111,Weather_Data!$J$2:$J$73,0))</f>
        <v>30</v>
      </c>
      <c r="M111" s="3" t="str">
        <f aca="false">INDEX(Shelter_Design!$I$2:$I$41,MATCH($B111,Shelter_Design!$A$2:$A$41,0))</f>
        <v>M06</v>
      </c>
      <c r="N111" s="3" t="n">
        <f aca="false">IFERROR(INDEX(Material_Properties!$D$2:$D$21,MATCH(M111,Material_Properties!$A$2:$A$21,0)),1)</f>
        <v>0.14</v>
      </c>
      <c r="O111" s="3" t="n">
        <f aca="false">INDEX(Shelter_Design!$M$2:$M$41,MATCH($B111,Shelter_Design!$A$2:$A$41,0))</f>
        <v>150</v>
      </c>
      <c r="P111" s="3" t="str">
        <f aca="false">INDEX(Shelter_Design!$L$2:$L$41,MATCH($B111,Shelter_Design!$A$2:$A$41,0))</f>
        <v>M10</v>
      </c>
      <c r="Q111" s="3" t="n">
        <f aca="false">IF(P111="None",0,IFERROR(INDEX(Material_Properties!$D$2:$D$21,MATCH(P111,Material_Properties!$A$2:$A$21,0)),0))</f>
        <v>0.038</v>
      </c>
      <c r="R111" s="3" t="n">
        <f aca="false">INDEX(Shelter_Design!$O$2:$O$41,MATCH($B111,Shelter_Design!$A$2:$A$41,0))</f>
        <v>50</v>
      </c>
      <c r="S111" s="3" t="n">
        <f aca="false">(O111/1000)/N111</f>
        <v>1.07142857142857</v>
      </c>
      <c r="T111" s="3" t="n">
        <f aca="false">IF(OR(P111="None",Q111=0),0,(R111/1000)/Q111)</f>
        <v>1.31578947368421</v>
      </c>
      <c r="U111" s="3" t="n">
        <v>0.17</v>
      </c>
      <c r="V111" s="3" t="n">
        <f aca="false">S111+T111+U111</f>
        <v>2.55721804511278</v>
      </c>
      <c r="W111" s="3" t="n">
        <f aca="false">1/V111</f>
        <v>0.391049954426509</v>
      </c>
      <c r="X111" s="3" t="n">
        <f aca="false">INDEX(Shelter_Design!$R$2:$R$41,MATCH($B111,Shelter_Design!$A$2:$A$41,0))</f>
        <v>49.3</v>
      </c>
      <c r="Y111" s="3" t="n">
        <f aca="false">INDEX(Shelter_Design!$P$2:$P$41,MATCH($B111,Shelter_Design!$A$2:$A$41,0))</f>
        <v>2</v>
      </c>
      <c r="Z111" s="3" t="n">
        <f aca="false">INDEX(Shelter_Design!$G$2:$G$41,MATCH($B111,Shelter_Design!$A$2:$A$41,0))</f>
        <v>60.75</v>
      </c>
      <c r="AA111" s="3" t="n">
        <f aca="false">INDEX(Shelter_Design!$S$2:$S$41,MATCH($B111,Shelter_Design!$A$2:$A$41,0))</f>
        <v>0.0389863547758285</v>
      </c>
      <c r="AB111" s="3" t="n">
        <f aca="false">INDEX(Shelter_Design!$Y$2:$Y$41,MATCH($B111,Shelter_Design!$A$2:$A$41,0))</f>
        <v>6</v>
      </c>
      <c r="AC111" s="3" t="str">
        <f aca="false">INDEX(Shelter_Design!$Z$2:$Z$41,MATCH($B111,Shelter_Design!$A$2:$A$41,0))</f>
        <v>Light-moderate</v>
      </c>
      <c r="AD111" s="3" t="n">
        <f aca="false">INDEX(Shelter_Design!$AA$2:$AA$41,MATCH($B111,Shelter_Design!$A$2:$A$41,0))</f>
        <v>1</v>
      </c>
      <c r="AE111" s="3" t="s">
        <v>304</v>
      </c>
    </row>
    <row r="112" customFormat="false" ht="15" hidden="false" customHeight="true" outlineLevel="0" collapsed="false">
      <c r="A112" s="3" t="s">
        <v>414</v>
      </c>
      <c r="B112" s="3" t="s">
        <v>277</v>
      </c>
      <c r="C112" s="3" t="s">
        <v>266</v>
      </c>
      <c r="D112" s="3" t="s">
        <v>303</v>
      </c>
      <c r="E112" s="3" t="s">
        <v>55</v>
      </c>
      <c r="F112" s="3" t="s">
        <v>22</v>
      </c>
      <c r="G112" s="3" t="str">
        <f aca="false">E112&amp;"-"&amp;F112</f>
        <v>Srinagar-January</v>
      </c>
      <c r="H112" s="3" t="n">
        <f aca="false">INDEX(Weather_Data!$K$2:$K$73,MATCH($G112,Weather_Data!$J$2:$J$73,0))</f>
        <v>3</v>
      </c>
      <c r="I112" s="3" t="n">
        <f aca="false">INDEX(Weather_Data!$L$2:$L$73,MATCH($G112,Weather_Data!$J$2:$J$73,0))</f>
        <v>55</v>
      </c>
      <c r="J112" s="3" t="n">
        <f aca="false">INDEX(Weather_Data!$M$2:$M$73,MATCH($G112,Weather_Data!$J$2:$J$73,0))</f>
        <v>1.5</v>
      </c>
      <c r="K112" s="3" t="n">
        <f aca="false">INDEX(Weather_Data!$P$2:$P$73,MATCH($G112,Weather_Data!$J$2:$J$73,0))</f>
        <v>104.166666666667</v>
      </c>
      <c r="L112" s="3" t="n">
        <f aca="false">INDEX(Weather_Data!$Q$2:$Q$73,MATCH($G112,Weather_Data!$J$2:$J$73,0))</f>
        <v>70</v>
      </c>
      <c r="M112" s="3" t="str">
        <f aca="false">INDEX(Shelter_Design!$I$2:$I$41,MATCH($B112,Shelter_Design!$A$2:$A$41,0))</f>
        <v>M06</v>
      </c>
      <c r="N112" s="3" t="n">
        <f aca="false">IFERROR(INDEX(Material_Properties!$D$2:$D$21,MATCH(M112,Material_Properties!$A$2:$A$21,0)),1)</f>
        <v>0.14</v>
      </c>
      <c r="O112" s="3" t="n">
        <f aca="false">INDEX(Shelter_Design!$M$2:$M$41,MATCH($B112,Shelter_Design!$A$2:$A$41,0))</f>
        <v>150</v>
      </c>
      <c r="P112" s="3" t="str">
        <f aca="false">INDEX(Shelter_Design!$L$2:$L$41,MATCH($B112,Shelter_Design!$A$2:$A$41,0))</f>
        <v>M10</v>
      </c>
      <c r="Q112" s="3" t="n">
        <f aca="false">IF(P112="None",0,IFERROR(INDEX(Material_Properties!$D$2:$D$21,MATCH(P112,Material_Properties!$A$2:$A$21,0)),0))</f>
        <v>0.038</v>
      </c>
      <c r="R112" s="3" t="n">
        <f aca="false">INDEX(Shelter_Design!$O$2:$O$41,MATCH($B112,Shelter_Design!$A$2:$A$41,0))</f>
        <v>100</v>
      </c>
      <c r="S112" s="3" t="n">
        <f aca="false">(O112/1000)/N112</f>
        <v>1.07142857142857</v>
      </c>
      <c r="T112" s="3" t="n">
        <f aca="false">IF(OR(P112="None",Q112=0),0,(R112/1000)/Q112)</f>
        <v>2.63157894736842</v>
      </c>
      <c r="U112" s="3" t="n">
        <v>0.17</v>
      </c>
      <c r="V112" s="3" t="n">
        <f aca="false">S112+T112+U112</f>
        <v>3.87300751879699</v>
      </c>
      <c r="W112" s="3" t="n">
        <f aca="false">1/V112</f>
        <v>0.258197278251247</v>
      </c>
      <c r="X112" s="3" t="n">
        <f aca="false">INDEX(Shelter_Design!$R$2:$R$41,MATCH($B112,Shelter_Design!$A$2:$A$41,0))</f>
        <v>35</v>
      </c>
      <c r="Y112" s="3" t="n">
        <f aca="false">INDEX(Shelter_Design!$P$2:$P$41,MATCH($B112,Shelter_Design!$A$2:$A$41,0))</f>
        <v>1.4</v>
      </c>
      <c r="Z112" s="3" t="n">
        <f aca="false">INDEX(Shelter_Design!$G$2:$G$41,MATCH($B112,Shelter_Design!$A$2:$A$41,0))</f>
        <v>31.85</v>
      </c>
      <c r="AA112" s="3" t="n">
        <f aca="false">INDEX(Shelter_Design!$S$2:$S$41,MATCH($B112,Shelter_Design!$A$2:$A$41,0))</f>
        <v>0.0384615384615385</v>
      </c>
      <c r="AB112" s="3" t="n">
        <f aca="false">INDEX(Shelter_Design!$Y$2:$Y$41,MATCH($B112,Shelter_Design!$A$2:$A$41,0))</f>
        <v>3</v>
      </c>
      <c r="AC112" s="3" t="str">
        <f aca="false">INDEX(Shelter_Design!$Z$2:$Z$41,MATCH($B112,Shelter_Design!$A$2:$A$41,0))</f>
        <v>Light-moderate</v>
      </c>
      <c r="AD112" s="3" t="n">
        <f aca="false">INDEX(Shelter_Design!$AA$2:$AA$41,MATCH($B112,Shelter_Design!$A$2:$A$41,0))</f>
        <v>1</v>
      </c>
      <c r="AE112" s="3" t="s">
        <v>304</v>
      </c>
    </row>
    <row r="113" customFormat="false" ht="15" hidden="false" customHeight="true" outlineLevel="0" collapsed="false">
      <c r="A113" s="3" t="s">
        <v>415</v>
      </c>
      <c r="B113" s="3" t="s">
        <v>277</v>
      </c>
      <c r="C113" s="3" t="s">
        <v>266</v>
      </c>
      <c r="D113" s="3" t="s">
        <v>303</v>
      </c>
      <c r="E113" s="3" t="s">
        <v>55</v>
      </c>
      <c r="F113" s="3" t="s">
        <v>33</v>
      </c>
      <c r="G113" s="3" t="str">
        <f aca="false">E113&amp;"-"&amp;F113</f>
        <v>Srinagar-April</v>
      </c>
      <c r="H113" s="3" t="n">
        <f aca="false">INDEX(Weather_Data!$K$2:$K$73,MATCH($G113,Weather_Data!$J$2:$J$73,0))</f>
        <v>15</v>
      </c>
      <c r="I113" s="3" t="n">
        <f aca="false">INDEX(Weather_Data!$L$2:$L$73,MATCH($G113,Weather_Data!$J$2:$J$73,0))</f>
        <v>50</v>
      </c>
      <c r="J113" s="3" t="n">
        <f aca="false">INDEX(Weather_Data!$M$2:$M$73,MATCH($G113,Weather_Data!$J$2:$J$73,0))</f>
        <v>2.5</v>
      </c>
      <c r="K113" s="3" t="n">
        <f aca="false">INDEX(Weather_Data!$P$2:$P$73,MATCH($G113,Weather_Data!$J$2:$J$73,0))</f>
        <v>208.333333333333</v>
      </c>
      <c r="L113" s="3" t="n">
        <f aca="false">INDEX(Weather_Data!$Q$2:$Q$73,MATCH($G113,Weather_Data!$J$2:$J$73,0))</f>
        <v>90</v>
      </c>
      <c r="M113" s="3" t="str">
        <f aca="false">INDEX(Shelter_Design!$I$2:$I$41,MATCH($B113,Shelter_Design!$A$2:$A$41,0))</f>
        <v>M06</v>
      </c>
      <c r="N113" s="3" t="n">
        <f aca="false">IFERROR(INDEX(Material_Properties!$D$2:$D$21,MATCH(M113,Material_Properties!$A$2:$A$21,0)),1)</f>
        <v>0.14</v>
      </c>
      <c r="O113" s="3" t="n">
        <f aca="false">INDEX(Shelter_Design!$M$2:$M$41,MATCH($B113,Shelter_Design!$A$2:$A$41,0))</f>
        <v>150</v>
      </c>
      <c r="P113" s="3" t="str">
        <f aca="false">INDEX(Shelter_Design!$L$2:$L$41,MATCH($B113,Shelter_Design!$A$2:$A$41,0))</f>
        <v>M10</v>
      </c>
      <c r="Q113" s="3" t="n">
        <f aca="false">IF(P113="None",0,IFERROR(INDEX(Material_Properties!$D$2:$D$21,MATCH(P113,Material_Properties!$A$2:$A$21,0)),0))</f>
        <v>0.038</v>
      </c>
      <c r="R113" s="3" t="n">
        <f aca="false">INDEX(Shelter_Design!$O$2:$O$41,MATCH($B113,Shelter_Design!$A$2:$A$41,0))</f>
        <v>100</v>
      </c>
      <c r="S113" s="3" t="n">
        <f aca="false">(O113/1000)/N113</f>
        <v>1.07142857142857</v>
      </c>
      <c r="T113" s="3" t="n">
        <f aca="false">IF(OR(P113="None",Q113=0),0,(R113/1000)/Q113)</f>
        <v>2.63157894736842</v>
      </c>
      <c r="U113" s="3" t="n">
        <v>0.17</v>
      </c>
      <c r="V113" s="3" t="n">
        <f aca="false">S113+T113+U113</f>
        <v>3.87300751879699</v>
      </c>
      <c r="W113" s="3" t="n">
        <f aca="false">1/V113</f>
        <v>0.258197278251247</v>
      </c>
      <c r="X113" s="3" t="n">
        <f aca="false">INDEX(Shelter_Design!$R$2:$R$41,MATCH($B113,Shelter_Design!$A$2:$A$41,0))</f>
        <v>35</v>
      </c>
      <c r="Y113" s="3" t="n">
        <f aca="false">INDEX(Shelter_Design!$P$2:$P$41,MATCH($B113,Shelter_Design!$A$2:$A$41,0))</f>
        <v>1.4</v>
      </c>
      <c r="Z113" s="3" t="n">
        <f aca="false">INDEX(Shelter_Design!$G$2:$G$41,MATCH($B113,Shelter_Design!$A$2:$A$41,0))</f>
        <v>31.85</v>
      </c>
      <c r="AA113" s="3" t="n">
        <f aca="false">INDEX(Shelter_Design!$S$2:$S$41,MATCH($B113,Shelter_Design!$A$2:$A$41,0))</f>
        <v>0.0384615384615385</v>
      </c>
      <c r="AB113" s="3" t="n">
        <f aca="false">INDEX(Shelter_Design!$Y$2:$Y$41,MATCH($B113,Shelter_Design!$A$2:$A$41,0))</f>
        <v>3</v>
      </c>
      <c r="AC113" s="3" t="str">
        <f aca="false">INDEX(Shelter_Design!$Z$2:$Z$41,MATCH($B113,Shelter_Design!$A$2:$A$41,0))</f>
        <v>Light-moderate</v>
      </c>
      <c r="AD113" s="3" t="n">
        <f aca="false">INDEX(Shelter_Design!$AA$2:$AA$41,MATCH($B113,Shelter_Design!$A$2:$A$41,0))</f>
        <v>1</v>
      </c>
      <c r="AE113" s="3" t="s">
        <v>304</v>
      </c>
    </row>
    <row r="114" customFormat="false" ht="15" hidden="false" customHeight="true" outlineLevel="0" collapsed="false">
      <c r="A114" s="3" t="s">
        <v>416</v>
      </c>
      <c r="B114" s="3" t="s">
        <v>277</v>
      </c>
      <c r="C114" s="3" t="s">
        <v>266</v>
      </c>
      <c r="D114" s="3" t="s">
        <v>303</v>
      </c>
      <c r="E114" s="3" t="s">
        <v>55</v>
      </c>
      <c r="F114" s="3" t="s">
        <v>42</v>
      </c>
      <c r="G114" s="3" t="str">
        <f aca="false">E114&amp;"-"&amp;F114</f>
        <v>Srinagar-July</v>
      </c>
      <c r="H114" s="3" t="n">
        <f aca="false">INDEX(Weather_Data!$K$2:$K$73,MATCH($G114,Weather_Data!$J$2:$J$73,0))</f>
        <v>26</v>
      </c>
      <c r="I114" s="3" t="n">
        <f aca="false">INDEX(Weather_Data!$L$2:$L$73,MATCH($G114,Weather_Data!$J$2:$J$73,0))</f>
        <v>60</v>
      </c>
      <c r="J114" s="3" t="n">
        <f aca="false">INDEX(Weather_Data!$M$2:$M$73,MATCH($G114,Weather_Data!$J$2:$J$73,0))</f>
        <v>1.8</v>
      </c>
      <c r="K114" s="3" t="n">
        <f aca="false">INDEX(Weather_Data!$P$2:$P$73,MATCH($G114,Weather_Data!$J$2:$J$73,0))</f>
        <v>208.333333333333</v>
      </c>
      <c r="L114" s="3" t="n">
        <f aca="false">INDEX(Weather_Data!$Q$2:$Q$73,MATCH($G114,Weather_Data!$J$2:$J$73,0))</f>
        <v>60</v>
      </c>
      <c r="M114" s="3" t="str">
        <f aca="false">INDEX(Shelter_Design!$I$2:$I$41,MATCH($B114,Shelter_Design!$A$2:$A$41,0))</f>
        <v>M06</v>
      </c>
      <c r="N114" s="3" t="n">
        <f aca="false">IFERROR(INDEX(Material_Properties!$D$2:$D$21,MATCH(M114,Material_Properties!$A$2:$A$21,0)),1)</f>
        <v>0.14</v>
      </c>
      <c r="O114" s="3" t="n">
        <f aca="false">INDEX(Shelter_Design!$M$2:$M$41,MATCH($B114,Shelter_Design!$A$2:$A$41,0))</f>
        <v>150</v>
      </c>
      <c r="P114" s="3" t="str">
        <f aca="false">INDEX(Shelter_Design!$L$2:$L$41,MATCH($B114,Shelter_Design!$A$2:$A$41,0))</f>
        <v>M10</v>
      </c>
      <c r="Q114" s="3" t="n">
        <f aca="false">IF(P114="None",0,IFERROR(INDEX(Material_Properties!$D$2:$D$21,MATCH(P114,Material_Properties!$A$2:$A$21,0)),0))</f>
        <v>0.038</v>
      </c>
      <c r="R114" s="3" t="n">
        <f aca="false">INDEX(Shelter_Design!$O$2:$O$41,MATCH($B114,Shelter_Design!$A$2:$A$41,0))</f>
        <v>100</v>
      </c>
      <c r="S114" s="3" t="n">
        <f aca="false">(O114/1000)/N114</f>
        <v>1.07142857142857</v>
      </c>
      <c r="T114" s="3" t="n">
        <f aca="false">IF(OR(P114="None",Q114=0),0,(R114/1000)/Q114)</f>
        <v>2.63157894736842</v>
      </c>
      <c r="U114" s="3" t="n">
        <v>0.17</v>
      </c>
      <c r="V114" s="3" t="n">
        <f aca="false">S114+T114+U114</f>
        <v>3.87300751879699</v>
      </c>
      <c r="W114" s="3" t="n">
        <f aca="false">1/V114</f>
        <v>0.258197278251247</v>
      </c>
      <c r="X114" s="3" t="n">
        <f aca="false">INDEX(Shelter_Design!$R$2:$R$41,MATCH($B114,Shelter_Design!$A$2:$A$41,0))</f>
        <v>35</v>
      </c>
      <c r="Y114" s="3" t="n">
        <f aca="false">INDEX(Shelter_Design!$P$2:$P$41,MATCH($B114,Shelter_Design!$A$2:$A$41,0))</f>
        <v>1.4</v>
      </c>
      <c r="Z114" s="3" t="n">
        <f aca="false">INDEX(Shelter_Design!$G$2:$G$41,MATCH($B114,Shelter_Design!$A$2:$A$41,0))</f>
        <v>31.85</v>
      </c>
      <c r="AA114" s="3" t="n">
        <f aca="false">INDEX(Shelter_Design!$S$2:$S$41,MATCH($B114,Shelter_Design!$A$2:$A$41,0))</f>
        <v>0.0384615384615385</v>
      </c>
      <c r="AB114" s="3" t="n">
        <f aca="false">INDEX(Shelter_Design!$Y$2:$Y$41,MATCH($B114,Shelter_Design!$A$2:$A$41,0))</f>
        <v>3</v>
      </c>
      <c r="AC114" s="3" t="str">
        <f aca="false">INDEX(Shelter_Design!$Z$2:$Z$41,MATCH($B114,Shelter_Design!$A$2:$A$41,0))</f>
        <v>Light-moderate</v>
      </c>
      <c r="AD114" s="3" t="n">
        <f aca="false">INDEX(Shelter_Design!$AA$2:$AA$41,MATCH($B114,Shelter_Design!$A$2:$A$41,0))</f>
        <v>1</v>
      </c>
      <c r="AE114" s="3" t="s">
        <v>304</v>
      </c>
    </row>
    <row r="115" customFormat="false" ht="15" hidden="false" customHeight="true" outlineLevel="0" collapsed="false">
      <c r="A115" s="3" t="s">
        <v>417</v>
      </c>
      <c r="B115" s="3" t="s">
        <v>277</v>
      </c>
      <c r="C115" s="3" t="s">
        <v>266</v>
      </c>
      <c r="D115" s="3" t="s">
        <v>303</v>
      </c>
      <c r="E115" s="3" t="s">
        <v>55</v>
      </c>
      <c r="F115" s="3" t="s">
        <v>46</v>
      </c>
      <c r="G115" s="3" t="str">
        <f aca="false">E115&amp;"-"&amp;F115</f>
        <v>Srinagar-September</v>
      </c>
      <c r="H115" s="3" t="n">
        <f aca="false">INDEX(Weather_Data!$K$2:$K$73,MATCH($G115,Weather_Data!$J$2:$J$73,0))</f>
        <v>22</v>
      </c>
      <c r="I115" s="3" t="n">
        <f aca="false">INDEX(Weather_Data!$L$2:$L$73,MATCH($G115,Weather_Data!$J$2:$J$73,0))</f>
        <v>55</v>
      </c>
      <c r="J115" s="3" t="n">
        <f aca="false">INDEX(Weather_Data!$M$2:$M$73,MATCH($G115,Weather_Data!$J$2:$J$73,0))</f>
        <v>1.8</v>
      </c>
      <c r="K115" s="3" t="n">
        <f aca="false">INDEX(Weather_Data!$P$2:$P$73,MATCH($G115,Weather_Data!$J$2:$J$73,0))</f>
        <v>187.5</v>
      </c>
      <c r="L115" s="3" t="n">
        <f aca="false">INDEX(Weather_Data!$Q$2:$Q$73,MATCH($G115,Weather_Data!$J$2:$J$73,0))</f>
        <v>50</v>
      </c>
      <c r="M115" s="3" t="str">
        <f aca="false">INDEX(Shelter_Design!$I$2:$I$41,MATCH($B115,Shelter_Design!$A$2:$A$41,0))</f>
        <v>M06</v>
      </c>
      <c r="N115" s="3" t="n">
        <f aca="false">IFERROR(INDEX(Material_Properties!$D$2:$D$21,MATCH(M115,Material_Properties!$A$2:$A$21,0)),1)</f>
        <v>0.14</v>
      </c>
      <c r="O115" s="3" t="n">
        <f aca="false">INDEX(Shelter_Design!$M$2:$M$41,MATCH($B115,Shelter_Design!$A$2:$A$41,0))</f>
        <v>150</v>
      </c>
      <c r="P115" s="3" t="str">
        <f aca="false">INDEX(Shelter_Design!$L$2:$L$41,MATCH($B115,Shelter_Design!$A$2:$A$41,0))</f>
        <v>M10</v>
      </c>
      <c r="Q115" s="3" t="n">
        <f aca="false">IF(P115="None",0,IFERROR(INDEX(Material_Properties!$D$2:$D$21,MATCH(P115,Material_Properties!$A$2:$A$21,0)),0))</f>
        <v>0.038</v>
      </c>
      <c r="R115" s="3" t="n">
        <f aca="false">INDEX(Shelter_Design!$O$2:$O$41,MATCH($B115,Shelter_Design!$A$2:$A$41,0))</f>
        <v>100</v>
      </c>
      <c r="S115" s="3" t="n">
        <f aca="false">(O115/1000)/N115</f>
        <v>1.07142857142857</v>
      </c>
      <c r="T115" s="3" t="n">
        <f aca="false">IF(OR(P115="None",Q115=0),0,(R115/1000)/Q115)</f>
        <v>2.63157894736842</v>
      </c>
      <c r="U115" s="3" t="n">
        <v>0.17</v>
      </c>
      <c r="V115" s="3" t="n">
        <f aca="false">S115+T115+U115</f>
        <v>3.87300751879699</v>
      </c>
      <c r="W115" s="3" t="n">
        <f aca="false">1/V115</f>
        <v>0.258197278251247</v>
      </c>
      <c r="X115" s="3" t="n">
        <f aca="false">INDEX(Shelter_Design!$R$2:$R$41,MATCH($B115,Shelter_Design!$A$2:$A$41,0))</f>
        <v>35</v>
      </c>
      <c r="Y115" s="3" t="n">
        <f aca="false">INDEX(Shelter_Design!$P$2:$P$41,MATCH($B115,Shelter_Design!$A$2:$A$41,0))</f>
        <v>1.4</v>
      </c>
      <c r="Z115" s="3" t="n">
        <f aca="false">INDEX(Shelter_Design!$G$2:$G$41,MATCH($B115,Shelter_Design!$A$2:$A$41,0))</f>
        <v>31.85</v>
      </c>
      <c r="AA115" s="3" t="n">
        <f aca="false">INDEX(Shelter_Design!$S$2:$S$41,MATCH($B115,Shelter_Design!$A$2:$A$41,0))</f>
        <v>0.0384615384615385</v>
      </c>
      <c r="AB115" s="3" t="n">
        <f aca="false">INDEX(Shelter_Design!$Y$2:$Y$41,MATCH($B115,Shelter_Design!$A$2:$A$41,0))</f>
        <v>3</v>
      </c>
      <c r="AC115" s="3" t="str">
        <f aca="false">INDEX(Shelter_Design!$Z$2:$Z$41,MATCH($B115,Shelter_Design!$A$2:$A$41,0))</f>
        <v>Light-moderate</v>
      </c>
      <c r="AD115" s="3" t="n">
        <f aca="false">INDEX(Shelter_Design!$AA$2:$AA$41,MATCH($B115,Shelter_Design!$A$2:$A$41,0))</f>
        <v>1</v>
      </c>
      <c r="AE115" s="3" t="s">
        <v>304</v>
      </c>
    </row>
    <row r="116" customFormat="false" ht="15" hidden="false" customHeight="true" outlineLevel="0" collapsed="false">
      <c r="A116" s="3" t="s">
        <v>418</v>
      </c>
      <c r="B116" s="3" t="s">
        <v>277</v>
      </c>
      <c r="C116" s="3" t="s">
        <v>266</v>
      </c>
      <c r="D116" s="3" t="s">
        <v>303</v>
      </c>
      <c r="E116" s="3" t="s">
        <v>55</v>
      </c>
      <c r="F116" s="3" t="s">
        <v>51</v>
      </c>
      <c r="G116" s="3" t="str">
        <f aca="false">E116&amp;"-"&amp;F116</f>
        <v>Srinagar-November</v>
      </c>
      <c r="H116" s="3" t="n">
        <f aca="false">INDEX(Weather_Data!$K$2:$K$73,MATCH($G116,Weather_Data!$J$2:$J$73,0))</f>
        <v>10</v>
      </c>
      <c r="I116" s="3" t="n">
        <f aca="false">INDEX(Weather_Data!$L$2:$L$73,MATCH($G116,Weather_Data!$J$2:$J$73,0))</f>
        <v>50</v>
      </c>
      <c r="J116" s="3" t="n">
        <f aca="false">INDEX(Weather_Data!$M$2:$M$73,MATCH($G116,Weather_Data!$J$2:$J$73,0))</f>
        <v>1.5</v>
      </c>
      <c r="K116" s="3" t="n">
        <f aca="false">INDEX(Weather_Data!$P$2:$P$73,MATCH($G116,Weather_Data!$J$2:$J$73,0))</f>
        <v>125</v>
      </c>
      <c r="L116" s="3" t="n">
        <f aca="false">INDEX(Weather_Data!$Q$2:$Q$73,MATCH($G116,Weather_Data!$J$2:$J$73,0))</f>
        <v>30</v>
      </c>
      <c r="M116" s="3" t="str">
        <f aca="false">INDEX(Shelter_Design!$I$2:$I$41,MATCH($B116,Shelter_Design!$A$2:$A$41,0))</f>
        <v>M06</v>
      </c>
      <c r="N116" s="3" t="n">
        <f aca="false">IFERROR(INDEX(Material_Properties!$D$2:$D$21,MATCH(M116,Material_Properties!$A$2:$A$21,0)),1)</f>
        <v>0.14</v>
      </c>
      <c r="O116" s="3" t="n">
        <f aca="false">INDEX(Shelter_Design!$M$2:$M$41,MATCH($B116,Shelter_Design!$A$2:$A$41,0))</f>
        <v>150</v>
      </c>
      <c r="P116" s="3" t="str">
        <f aca="false">INDEX(Shelter_Design!$L$2:$L$41,MATCH($B116,Shelter_Design!$A$2:$A$41,0))</f>
        <v>M10</v>
      </c>
      <c r="Q116" s="3" t="n">
        <f aca="false">IF(P116="None",0,IFERROR(INDEX(Material_Properties!$D$2:$D$21,MATCH(P116,Material_Properties!$A$2:$A$21,0)),0))</f>
        <v>0.038</v>
      </c>
      <c r="R116" s="3" t="n">
        <f aca="false">INDEX(Shelter_Design!$O$2:$O$41,MATCH($B116,Shelter_Design!$A$2:$A$41,0))</f>
        <v>100</v>
      </c>
      <c r="S116" s="3" t="n">
        <f aca="false">(O116/1000)/N116</f>
        <v>1.07142857142857</v>
      </c>
      <c r="T116" s="3" t="n">
        <f aca="false">IF(OR(P116="None",Q116=0),0,(R116/1000)/Q116)</f>
        <v>2.63157894736842</v>
      </c>
      <c r="U116" s="3" t="n">
        <v>0.17</v>
      </c>
      <c r="V116" s="3" t="n">
        <f aca="false">S116+T116+U116</f>
        <v>3.87300751879699</v>
      </c>
      <c r="W116" s="3" t="n">
        <f aca="false">1/V116</f>
        <v>0.258197278251247</v>
      </c>
      <c r="X116" s="3" t="n">
        <f aca="false">INDEX(Shelter_Design!$R$2:$R$41,MATCH($B116,Shelter_Design!$A$2:$A$41,0))</f>
        <v>35</v>
      </c>
      <c r="Y116" s="3" t="n">
        <f aca="false">INDEX(Shelter_Design!$P$2:$P$41,MATCH($B116,Shelter_Design!$A$2:$A$41,0))</f>
        <v>1.4</v>
      </c>
      <c r="Z116" s="3" t="n">
        <f aca="false">INDEX(Shelter_Design!$G$2:$G$41,MATCH($B116,Shelter_Design!$A$2:$A$41,0))</f>
        <v>31.85</v>
      </c>
      <c r="AA116" s="3" t="n">
        <f aca="false">INDEX(Shelter_Design!$S$2:$S$41,MATCH($B116,Shelter_Design!$A$2:$A$41,0))</f>
        <v>0.0384615384615385</v>
      </c>
      <c r="AB116" s="3" t="n">
        <f aca="false">INDEX(Shelter_Design!$Y$2:$Y$41,MATCH($B116,Shelter_Design!$A$2:$A$41,0))</f>
        <v>3</v>
      </c>
      <c r="AC116" s="3" t="str">
        <f aca="false">INDEX(Shelter_Design!$Z$2:$Z$41,MATCH($B116,Shelter_Design!$A$2:$A$41,0))</f>
        <v>Light-moderate</v>
      </c>
      <c r="AD116" s="3" t="n">
        <f aca="false">INDEX(Shelter_Design!$AA$2:$AA$41,MATCH($B116,Shelter_Design!$A$2:$A$41,0))</f>
        <v>1</v>
      </c>
      <c r="AE116" s="3" t="s">
        <v>304</v>
      </c>
    </row>
    <row r="117" customFormat="false" ht="15" hidden="false" customHeight="true" outlineLevel="0" collapsed="false">
      <c r="A117" s="3" t="s">
        <v>419</v>
      </c>
      <c r="B117" s="3" t="s">
        <v>278</v>
      </c>
      <c r="C117" s="3" t="s">
        <v>266</v>
      </c>
      <c r="D117" s="3" t="s">
        <v>303</v>
      </c>
      <c r="E117" s="3" t="s">
        <v>55</v>
      </c>
      <c r="F117" s="3" t="s">
        <v>22</v>
      </c>
      <c r="G117" s="3" t="str">
        <f aca="false">E117&amp;"-"&amp;F117</f>
        <v>Srinagar-January</v>
      </c>
      <c r="H117" s="3" t="n">
        <f aca="false">INDEX(Weather_Data!$K$2:$K$73,MATCH($G117,Weather_Data!$J$2:$J$73,0))</f>
        <v>3</v>
      </c>
      <c r="I117" s="3" t="n">
        <f aca="false">INDEX(Weather_Data!$L$2:$L$73,MATCH($G117,Weather_Data!$J$2:$J$73,0))</f>
        <v>55</v>
      </c>
      <c r="J117" s="3" t="n">
        <f aca="false">INDEX(Weather_Data!$M$2:$M$73,MATCH($G117,Weather_Data!$J$2:$J$73,0))</f>
        <v>1.5</v>
      </c>
      <c r="K117" s="3" t="n">
        <f aca="false">INDEX(Weather_Data!$P$2:$P$73,MATCH($G117,Weather_Data!$J$2:$J$73,0))</f>
        <v>104.166666666667</v>
      </c>
      <c r="L117" s="3" t="n">
        <f aca="false">INDEX(Weather_Data!$Q$2:$Q$73,MATCH($G117,Weather_Data!$J$2:$J$73,0))</f>
        <v>70</v>
      </c>
      <c r="M117" s="3" t="str">
        <f aca="false">INDEX(Shelter_Design!$I$2:$I$41,MATCH($B117,Shelter_Design!$A$2:$A$41,0))</f>
        <v>M06</v>
      </c>
      <c r="N117" s="3" t="n">
        <f aca="false">IFERROR(INDEX(Material_Properties!$D$2:$D$21,MATCH(M117,Material_Properties!$A$2:$A$21,0)),1)</f>
        <v>0.14</v>
      </c>
      <c r="O117" s="3" t="n">
        <f aca="false">INDEX(Shelter_Design!$M$2:$M$41,MATCH($B117,Shelter_Design!$A$2:$A$41,0))</f>
        <v>150</v>
      </c>
      <c r="P117" s="3" t="str">
        <f aca="false">INDEX(Shelter_Design!$L$2:$L$41,MATCH($B117,Shelter_Design!$A$2:$A$41,0))</f>
        <v>M10</v>
      </c>
      <c r="Q117" s="3" t="n">
        <f aca="false">IF(P117="None",0,IFERROR(INDEX(Material_Properties!$D$2:$D$21,MATCH(P117,Material_Properties!$A$2:$A$21,0)),0))</f>
        <v>0.038</v>
      </c>
      <c r="R117" s="3" t="n">
        <f aca="false">INDEX(Shelter_Design!$O$2:$O$41,MATCH($B117,Shelter_Design!$A$2:$A$41,0))</f>
        <v>100</v>
      </c>
      <c r="S117" s="3" t="n">
        <f aca="false">(O117/1000)/N117</f>
        <v>1.07142857142857</v>
      </c>
      <c r="T117" s="3" t="n">
        <f aca="false">IF(OR(P117="None",Q117=0),0,(R117/1000)/Q117)</f>
        <v>2.63157894736842</v>
      </c>
      <c r="U117" s="3" t="n">
        <v>0.17</v>
      </c>
      <c r="V117" s="3" t="n">
        <f aca="false">S117+T117+U117</f>
        <v>3.87300751879699</v>
      </c>
      <c r="W117" s="3" t="n">
        <f aca="false">1/V117</f>
        <v>0.258197278251247</v>
      </c>
      <c r="X117" s="3" t="n">
        <f aca="false">INDEX(Shelter_Design!$R$2:$R$41,MATCH($B117,Shelter_Design!$A$2:$A$41,0))</f>
        <v>49.3</v>
      </c>
      <c r="Y117" s="3" t="n">
        <f aca="false">INDEX(Shelter_Design!$P$2:$P$41,MATCH($B117,Shelter_Design!$A$2:$A$41,0))</f>
        <v>2</v>
      </c>
      <c r="Z117" s="3" t="n">
        <f aca="false">INDEX(Shelter_Design!$G$2:$G$41,MATCH($B117,Shelter_Design!$A$2:$A$41,0))</f>
        <v>60.75</v>
      </c>
      <c r="AA117" s="3" t="n">
        <f aca="false">INDEX(Shelter_Design!$S$2:$S$41,MATCH($B117,Shelter_Design!$A$2:$A$41,0))</f>
        <v>0.0389863547758285</v>
      </c>
      <c r="AB117" s="3" t="n">
        <f aca="false">INDEX(Shelter_Design!$Y$2:$Y$41,MATCH($B117,Shelter_Design!$A$2:$A$41,0))</f>
        <v>6</v>
      </c>
      <c r="AC117" s="3" t="str">
        <f aca="false">INDEX(Shelter_Design!$Z$2:$Z$41,MATCH($B117,Shelter_Design!$A$2:$A$41,0))</f>
        <v>Light-moderate</v>
      </c>
      <c r="AD117" s="3" t="n">
        <f aca="false">INDEX(Shelter_Design!$AA$2:$AA$41,MATCH($B117,Shelter_Design!$A$2:$A$41,0))</f>
        <v>1</v>
      </c>
      <c r="AE117" s="3" t="s">
        <v>304</v>
      </c>
    </row>
    <row r="118" customFormat="false" ht="15" hidden="false" customHeight="true" outlineLevel="0" collapsed="false">
      <c r="A118" s="3" t="s">
        <v>420</v>
      </c>
      <c r="B118" s="3" t="s">
        <v>278</v>
      </c>
      <c r="C118" s="3" t="s">
        <v>266</v>
      </c>
      <c r="D118" s="3" t="s">
        <v>303</v>
      </c>
      <c r="E118" s="3" t="s">
        <v>55</v>
      </c>
      <c r="F118" s="3" t="s">
        <v>33</v>
      </c>
      <c r="G118" s="3" t="str">
        <f aca="false">E118&amp;"-"&amp;F118</f>
        <v>Srinagar-April</v>
      </c>
      <c r="H118" s="3" t="n">
        <f aca="false">INDEX(Weather_Data!$K$2:$K$73,MATCH($G118,Weather_Data!$J$2:$J$73,0))</f>
        <v>15</v>
      </c>
      <c r="I118" s="3" t="n">
        <f aca="false">INDEX(Weather_Data!$L$2:$L$73,MATCH($G118,Weather_Data!$J$2:$J$73,0))</f>
        <v>50</v>
      </c>
      <c r="J118" s="3" t="n">
        <f aca="false">INDEX(Weather_Data!$M$2:$M$73,MATCH($G118,Weather_Data!$J$2:$J$73,0))</f>
        <v>2.5</v>
      </c>
      <c r="K118" s="3" t="n">
        <f aca="false">INDEX(Weather_Data!$P$2:$P$73,MATCH($G118,Weather_Data!$J$2:$J$73,0))</f>
        <v>208.333333333333</v>
      </c>
      <c r="L118" s="3" t="n">
        <f aca="false">INDEX(Weather_Data!$Q$2:$Q$73,MATCH($G118,Weather_Data!$J$2:$J$73,0))</f>
        <v>90</v>
      </c>
      <c r="M118" s="3" t="str">
        <f aca="false">INDEX(Shelter_Design!$I$2:$I$41,MATCH($B118,Shelter_Design!$A$2:$A$41,0))</f>
        <v>M06</v>
      </c>
      <c r="N118" s="3" t="n">
        <f aca="false">IFERROR(INDEX(Material_Properties!$D$2:$D$21,MATCH(M118,Material_Properties!$A$2:$A$21,0)),1)</f>
        <v>0.14</v>
      </c>
      <c r="O118" s="3" t="n">
        <f aca="false">INDEX(Shelter_Design!$M$2:$M$41,MATCH($B118,Shelter_Design!$A$2:$A$41,0))</f>
        <v>150</v>
      </c>
      <c r="P118" s="3" t="str">
        <f aca="false">INDEX(Shelter_Design!$L$2:$L$41,MATCH($B118,Shelter_Design!$A$2:$A$41,0))</f>
        <v>M10</v>
      </c>
      <c r="Q118" s="3" t="n">
        <f aca="false">IF(P118="None",0,IFERROR(INDEX(Material_Properties!$D$2:$D$21,MATCH(P118,Material_Properties!$A$2:$A$21,0)),0))</f>
        <v>0.038</v>
      </c>
      <c r="R118" s="3" t="n">
        <f aca="false">INDEX(Shelter_Design!$O$2:$O$41,MATCH($B118,Shelter_Design!$A$2:$A$41,0))</f>
        <v>100</v>
      </c>
      <c r="S118" s="3" t="n">
        <f aca="false">(O118/1000)/N118</f>
        <v>1.07142857142857</v>
      </c>
      <c r="T118" s="3" t="n">
        <f aca="false">IF(OR(P118="None",Q118=0),0,(R118/1000)/Q118)</f>
        <v>2.63157894736842</v>
      </c>
      <c r="U118" s="3" t="n">
        <v>0.17</v>
      </c>
      <c r="V118" s="3" t="n">
        <f aca="false">S118+T118+U118</f>
        <v>3.87300751879699</v>
      </c>
      <c r="W118" s="3" t="n">
        <f aca="false">1/V118</f>
        <v>0.258197278251247</v>
      </c>
      <c r="X118" s="3" t="n">
        <f aca="false">INDEX(Shelter_Design!$R$2:$R$41,MATCH($B118,Shelter_Design!$A$2:$A$41,0))</f>
        <v>49.3</v>
      </c>
      <c r="Y118" s="3" t="n">
        <f aca="false">INDEX(Shelter_Design!$P$2:$P$41,MATCH($B118,Shelter_Design!$A$2:$A$41,0))</f>
        <v>2</v>
      </c>
      <c r="Z118" s="3" t="n">
        <f aca="false">INDEX(Shelter_Design!$G$2:$G$41,MATCH($B118,Shelter_Design!$A$2:$A$41,0))</f>
        <v>60.75</v>
      </c>
      <c r="AA118" s="3" t="n">
        <f aca="false">INDEX(Shelter_Design!$S$2:$S$41,MATCH($B118,Shelter_Design!$A$2:$A$41,0))</f>
        <v>0.0389863547758285</v>
      </c>
      <c r="AB118" s="3" t="n">
        <f aca="false">INDEX(Shelter_Design!$Y$2:$Y$41,MATCH($B118,Shelter_Design!$A$2:$A$41,0))</f>
        <v>6</v>
      </c>
      <c r="AC118" s="3" t="str">
        <f aca="false">INDEX(Shelter_Design!$Z$2:$Z$41,MATCH($B118,Shelter_Design!$A$2:$A$41,0))</f>
        <v>Light-moderate</v>
      </c>
      <c r="AD118" s="3" t="n">
        <f aca="false">INDEX(Shelter_Design!$AA$2:$AA$41,MATCH($B118,Shelter_Design!$A$2:$A$41,0))</f>
        <v>1</v>
      </c>
      <c r="AE118" s="3" t="s">
        <v>304</v>
      </c>
    </row>
    <row r="119" customFormat="false" ht="15" hidden="false" customHeight="true" outlineLevel="0" collapsed="false">
      <c r="A119" s="3" t="s">
        <v>421</v>
      </c>
      <c r="B119" s="3" t="s">
        <v>278</v>
      </c>
      <c r="C119" s="3" t="s">
        <v>266</v>
      </c>
      <c r="D119" s="3" t="s">
        <v>303</v>
      </c>
      <c r="E119" s="3" t="s">
        <v>55</v>
      </c>
      <c r="F119" s="3" t="s">
        <v>42</v>
      </c>
      <c r="G119" s="3" t="str">
        <f aca="false">E119&amp;"-"&amp;F119</f>
        <v>Srinagar-July</v>
      </c>
      <c r="H119" s="3" t="n">
        <f aca="false">INDEX(Weather_Data!$K$2:$K$73,MATCH($G119,Weather_Data!$J$2:$J$73,0))</f>
        <v>26</v>
      </c>
      <c r="I119" s="3" t="n">
        <f aca="false">INDEX(Weather_Data!$L$2:$L$73,MATCH($G119,Weather_Data!$J$2:$J$73,0))</f>
        <v>60</v>
      </c>
      <c r="J119" s="3" t="n">
        <f aca="false">INDEX(Weather_Data!$M$2:$M$73,MATCH($G119,Weather_Data!$J$2:$J$73,0))</f>
        <v>1.8</v>
      </c>
      <c r="K119" s="3" t="n">
        <f aca="false">INDEX(Weather_Data!$P$2:$P$73,MATCH($G119,Weather_Data!$J$2:$J$73,0))</f>
        <v>208.333333333333</v>
      </c>
      <c r="L119" s="3" t="n">
        <f aca="false">INDEX(Weather_Data!$Q$2:$Q$73,MATCH($G119,Weather_Data!$J$2:$J$73,0))</f>
        <v>60</v>
      </c>
      <c r="M119" s="3" t="str">
        <f aca="false">INDEX(Shelter_Design!$I$2:$I$41,MATCH($B119,Shelter_Design!$A$2:$A$41,0))</f>
        <v>M06</v>
      </c>
      <c r="N119" s="3" t="n">
        <f aca="false">IFERROR(INDEX(Material_Properties!$D$2:$D$21,MATCH(M119,Material_Properties!$A$2:$A$21,0)),1)</f>
        <v>0.14</v>
      </c>
      <c r="O119" s="3" t="n">
        <f aca="false">INDEX(Shelter_Design!$M$2:$M$41,MATCH($B119,Shelter_Design!$A$2:$A$41,0))</f>
        <v>150</v>
      </c>
      <c r="P119" s="3" t="str">
        <f aca="false">INDEX(Shelter_Design!$L$2:$L$41,MATCH($B119,Shelter_Design!$A$2:$A$41,0))</f>
        <v>M10</v>
      </c>
      <c r="Q119" s="3" t="n">
        <f aca="false">IF(P119="None",0,IFERROR(INDEX(Material_Properties!$D$2:$D$21,MATCH(P119,Material_Properties!$A$2:$A$21,0)),0))</f>
        <v>0.038</v>
      </c>
      <c r="R119" s="3" t="n">
        <f aca="false">INDEX(Shelter_Design!$O$2:$O$41,MATCH($B119,Shelter_Design!$A$2:$A$41,0))</f>
        <v>100</v>
      </c>
      <c r="S119" s="3" t="n">
        <f aca="false">(O119/1000)/N119</f>
        <v>1.07142857142857</v>
      </c>
      <c r="T119" s="3" t="n">
        <f aca="false">IF(OR(P119="None",Q119=0),0,(R119/1000)/Q119)</f>
        <v>2.63157894736842</v>
      </c>
      <c r="U119" s="3" t="n">
        <v>0.17</v>
      </c>
      <c r="V119" s="3" t="n">
        <f aca="false">S119+T119+U119</f>
        <v>3.87300751879699</v>
      </c>
      <c r="W119" s="3" t="n">
        <f aca="false">1/V119</f>
        <v>0.258197278251247</v>
      </c>
      <c r="X119" s="3" t="n">
        <f aca="false">INDEX(Shelter_Design!$R$2:$R$41,MATCH($B119,Shelter_Design!$A$2:$A$41,0))</f>
        <v>49.3</v>
      </c>
      <c r="Y119" s="3" t="n">
        <f aca="false">INDEX(Shelter_Design!$P$2:$P$41,MATCH($B119,Shelter_Design!$A$2:$A$41,0))</f>
        <v>2</v>
      </c>
      <c r="Z119" s="3" t="n">
        <f aca="false">INDEX(Shelter_Design!$G$2:$G$41,MATCH($B119,Shelter_Design!$A$2:$A$41,0))</f>
        <v>60.75</v>
      </c>
      <c r="AA119" s="3" t="n">
        <f aca="false">INDEX(Shelter_Design!$S$2:$S$41,MATCH($B119,Shelter_Design!$A$2:$A$41,0))</f>
        <v>0.0389863547758285</v>
      </c>
      <c r="AB119" s="3" t="n">
        <f aca="false">INDEX(Shelter_Design!$Y$2:$Y$41,MATCH($B119,Shelter_Design!$A$2:$A$41,0))</f>
        <v>6</v>
      </c>
      <c r="AC119" s="3" t="str">
        <f aca="false">INDEX(Shelter_Design!$Z$2:$Z$41,MATCH($B119,Shelter_Design!$A$2:$A$41,0))</f>
        <v>Light-moderate</v>
      </c>
      <c r="AD119" s="3" t="n">
        <f aca="false">INDEX(Shelter_Design!$AA$2:$AA$41,MATCH($B119,Shelter_Design!$A$2:$A$41,0))</f>
        <v>1</v>
      </c>
      <c r="AE119" s="3" t="s">
        <v>304</v>
      </c>
    </row>
    <row r="120" customFormat="false" ht="15" hidden="false" customHeight="true" outlineLevel="0" collapsed="false">
      <c r="A120" s="3" t="s">
        <v>422</v>
      </c>
      <c r="B120" s="3" t="s">
        <v>278</v>
      </c>
      <c r="C120" s="3" t="s">
        <v>266</v>
      </c>
      <c r="D120" s="3" t="s">
        <v>303</v>
      </c>
      <c r="E120" s="3" t="s">
        <v>55</v>
      </c>
      <c r="F120" s="3" t="s">
        <v>46</v>
      </c>
      <c r="G120" s="3" t="str">
        <f aca="false">E120&amp;"-"&amp;F120</f>
        <v>Srinagar-September</v>
      </c>
      <c r="H120" s="3" t="n">
        <f aca="false">INDEX(Weather_Data!$K$2:$K$73,MATCH($G120,Weather_Data!$J$2:$J$73,0))</f>
        <v>22</v>
      </c>
      <c r="I120" s="3" t="n">
        <f aca="false">INDEX(Weather_Data!$L$2:$L$73,MATCH($G120,Weather_Data!$J$2:$J$73,0))</f>
        <v>55</v>
      </c>
      <c r="J120" s="3" t="n">
        <f aca="false">INDEX(Weather_Data!$M$2:$M$73,MATCH($G120,Weather_Data!$J$2:$J$73,0))</f>
        <v>1.8</v>
      </c>
      <c r="K120" s="3" t="n">
        <f aca="false">INDEX(Weather_Data!$P$2:$P$73,MATCH($G120,Weather_Data!$J$2:$J$73,0))</f>
        <v>187.5</v>
      </c>
      <c r="L120" s="3" t="n">
        <f aca="false">INDEX(Weather_Data!$Q$2:$Q$73,MATCH($G120,Weather_Data!$J$2:$J$73,0))</f>
        <v>50</v>
      </c>
      <c r="M120" s="3" t="str">
        <f aca="false">INDEX(Shelter_Design!$I$2:$I$41,MATCH($B120,Shelter_Design!$A$2:$A$41,0))</f>
        <v>M06</v>
      </c>
      <c r="N120" s="3" t="n">
        <f aca="false">IFERROR(INDEX(Material_Properties!$D$2:$D$21,MATCH(M120,Material_Properties!$A$2:$A$21,0)),1)</f>
        <v>0.14</v>
      </c>
      <c r="O120" s="3" t="n">
        <f aca="false">INDEX(Shelter_Design!$M$2:$M$41,MATCH($B120,Shelter_Design!$A$2:$A$41,0))</f>
        <v>150</v>
      </c>
      <c r="P120" s="3" t="str">
        <f aca="false">INDEX(Shelter_Design!$L$2:$L$41,MATCH($B120,Shelter_Design!$A$2:$A$41,0))</f>
        <v>M10</v>
      </c>
      <c r="Q120" s="3" t="n">
        <f aca="false">IF(P120="None",0,IFERROR(INDEX(Material_Properties!$D$2:$D$21,MATCH(P120,Material_Properties!$A$2:$A$21,0)),0))</f>
        <v>0.038</v>
      </c>
      <c r="R120" s="3" t="n">
        <f aca="false">INDEX(Shelter_Design!$O$2:$O$41,MATCH($B120,Shelter_Design!$A$2:$A$41,0))</f>
        <v>100</v>
      </c>
      <c r="S120" s="3" t="n">
        <f aca="false">(O120/1000)/N120</f>
        <v>1.07142857142857</v>
      </c>
      <c r="T120" s="3" t="n">
        <f aca="false">IF(OR(P120="None",Q120=0),0,(R120/1000)/Q120)</f>
        <v>2.63157894736842</v>
      </c>
      <c r="U120" s="3" t="n">
        <v>0.17</v>
      </c>
      <c r="V120" s="3" t="n">
        <f aca="false">S120+T120+U120</f>
        <v>3.87300751879699</v>
      </c>
      <c r="W120" s="3" t="n">
        <f aca="false">1/V120</f>
        <v>0.258197278251247</v>
      </c>
      <c r="X120" s="3" t="n">
        <f aca="false">INDEX(Shelter_Design!$R$2:$R$41,MATCH($B120,Shelter_Design!$A$2:$A$41,0))</f>
        <v>49.3</v>
      </c>
      <c r="Y120" s="3" t="n">
        <f aca="false">INDEX(Shelter_Design!$P$2:$P$41,MATCH($B120,Shelter_Design!$A$2:$A$41,0))</f>
        <v>2</v>
      </c>
      <c r="Z120" s="3" t="n">
        <f aca="false">INDEX(Shelter_Design!$G$2:$G$41,MATCH($B120,Shelter_Design!$A$2:$A$41,0))</f>
        <v>60.75</v>
      </c>
      <c r="AA120" s="3" t="n">
        <f aca="false">INDEX(Shelter_Design!$S$2:$S$41,MATCH($B120,Shelter_Design!$A$2:$A$41,0))</f>
        <v>0.0389863547758285</v>
      </c>
      <c r="AB120" s="3" t="n">
        <f aca="false">INDEX(Shelter_Design!$Y$2:$Y$41,MATCH($B120,Shelter_Design!$A$2:$A$41,0))</f>
        <v>6</v>
      </c>
      <c r="AC120" s="3" t="str">
        <f aca="false">INDEX(Shelter_Design!$Z$2:$Z$41,MATCH($B120,Shelter_Design!$A$2:$A$41,0))</f>
        <v>Light-moderate</v>
      </c>
      <c r="AD120" s="3" t="n">
        <f aca="false">INDEX(Shelter_Design!$AA$2:$AA$41,MATCH($B120,Shelter_Design!$A$2:$A$41,0))</f>
        <v>1</v>
      </c>
      <c r="AE120" s="3" t="s">
        <v>304</v>
      </c>
    </row>
    <row r="121" customFormat="false" ht="15" hidden="false" customHeight="true" outlineLevel="0" collapsed="false">
      <c r="A121" s="3" t="s">
        <v>423</v>
      </c>
      <c r="B121" s="3" t="s">
        <v>278</v>
      </c>
      <c r="C121" s="3" t="s">
        <v>266</v>
      </c>
      <c r="D121" s="3" t="s">
        <v>303</v>
      </c>
      <c r="E121" s="3" t="s">
        <v>55</v>
      </c>
      <c r="F121" s="3" t="s">
        <v>51</v>
      </c>
      <c r="G121" s="3" t="str">
        <f aca="false">E121&amp;"-"&amp;F121</f>
        <v>Srinagar-November</v>
      </c>
      <c r="H121" s="3" t="n">
        <f aca="false">INDEX(Weather_Data!$K$2:$K$73,MATCH($G121,Weather_Data!$J$2:$J$73,0))</f>
        <v>10</v>
      </c>
      <c r="I121" s="3" t="n">
        <f aca="false">INDEX(Weather_Data!$L$2:$L$73,MATCH($G121,Weather_Data!$J$2:$J$73,0))</f>
        <v>50</v>
      </c>
      <c r="J121" s="3" t="n">
        <f aca="false">INDEX(Weather_Data!$M$2:$M$73,MATCH($G121,Weather_Data!$J$2:$J$73,0))</f>
        <v>1.5</v>
      </c>
      <c r="K121" s="3" t="n">
        <f aca="false">INDEX(Weather_Data!$P$2:$P$73,MATCH($G121,Weather_Data!$J$2:$J$73,0))</f>
        <v>125</v>
      </c>
      <c r="L121" s="3" t="n">
        <f aca="false">INDEX(Weather_Data!$Q$2:$Q$73,MATCH($G121,Weather_Data!$J$2:$J$73,0))</f>
        <v>30</v>
      </c>
      <c r="M121" s="3" t="str">
        <f aca="false">INDEX(Shelter_Design!$I$2:$I$41,MATCH($B121,Shelter_Design!$A$2:$A$41,0))</f>
        <v>M06</v>
      </c>
      <c r="N121" s="3" t="n">
        <f aca="false">IFERROR(INDEX(Material_Properties!$D$2:$D$21,MATCH(M121,Material_Properties!$A$2:$A$21,0)),1)</f>
        <v>0.14</v>
      </c>
      <c r="O121" s="3" t="n">
        <f aca="false">INDEX(Shelter_Design!$M$2:$M$41,MATCH($B121,Shelter_Design!$A$2:$A$41,0))</f>
        <v>150</v>
      </c>
      <c r="P121" s="3" t="str">
        <f aca="false">INDEX(Shelter_Design!$L$2:$L$41,MATCH($B121,Shelter_Design!$A$2:$A$41,0))</f>
        <v>M10</v>
      </c>
      <c r="Q121" s="3" t="n">
        <f aca="false">IF(P121="None",0,IFERROR(INDEX(Material_Properties!$D$2:$D$21,MATCH(P121,Material_Properties!$A$2:$A$21,0)),0))</f>
        <v>0.038</v>
      </c>
      <c r="R121" s="3" t="n">
        <f aca="false">INDEX(Shelter_Design!$O$2:$O$41,MATCH($B121,Shelter_Design!$A$2:$A$41,0))</f>
        <v>100</v>
      </c>
      <c r="S121" s="3" t="n">
        <f aca="false">(O121/1000)/N121</f>
        <v>1.07142857142857</v>
      </c>
      <c r="T121" s="3" t="n">
        <f aca="false">IF(OR(P121="None",Q121=0),0,(R121/1000)/Q121)</f>
        <v>2.63157894736842</v>
      </c>
      <c r="U121" s="3" t="n">
        <v>0.17</v>
      </c>
      <c r="V121" s="3" t="n">
        <f aca="false">S121+T121+U121</f>
        <v>3.87300751879699</v>
      </c>
      <c r="W121" s="3" t="n">
        <f aca="false">1/V121</f>
        <v>0.258197278251247</v>
      </c>
      <c r="X121" s="3" t="n">
        <f aca="false">INDEX(Shelter_Design!$R$2:$R$41,MATCH($B121,Shelter_Design!$A$2:$A$41,0))</f>
        <v>49.3</v>
      </c>
      <c r="Y121" s="3" t="n">
        <f aca="false">INDEX(Shelter_Design!$P$2:$P$41,MATCH($B121,Shelter_Design!$A$2:$A$41,0))</f>
        <v>2</v>
      </c>
      <c r="Z121" s="3" t="n">
        <f aca="false">INDEX(Shelter_Design!$G$2:$G$41,MATCH($B121,Shelter_Design!$A$2:$A$41,0))</f>
        <v>60.75</v>
      </c>
      <c r="AA121" s="3" t="n">
        <f aca="false">INDEX(Shelter_Design!$S$2:$S$41,MATCH($B121,Shelter_Design!$A$2:$A$41,0))</f>
        <v>0.0389863547758285</v>
      </c>
      <c r="AB121" s="3" t="n">
        <f aca="false">INDEX(Shelter_Design!$Y$2:$Y$41,MATCH($B121,Shelter_Design!$A$2:$A$41,0))</f>
        <v>6</v>
      </c>
      <c r="AC121" s="3" t="str">
        <f aca="false">INDEX(Shelter_Design!$Z$2:$Z$41,MATCH($B121,Shelter_Design!$A$2:$A$41,0))</f>
        <v>Light-moderate</v>
      </c>
      <c r="AD121" s="3" t="n">
        <f aca="false">INDEX(Shelter_Design!$AA$2:$AA$41,MATCH($B121,Shelter_Design!$A$2:$A$41,0))</f>
        <v>1</v>
      </c>
      <c r="AE121" s="3" t="s">
        <v>304</v>
      </c>
    </row>
    <row r="122" customFormat="false" ht="15" hidden="false" customHeight="true" outlineLevel="0" collapsed="false">
      <c r="A122" s="3" t="s">
        <v>424</v>
      </c>
      <c r="B122" s="3" t="s">
        <v>251</v>
      </c>
      <c r="C122" s="3" t="s">
        <v>252</v>
      </c>
      <c r="D122" s="3" t="s">
        <v>303</v>
      </c>
      <c r="E122" s="3" t="s">
        <v>67</v>
      </c>
      <c r="F122" s="3" t="s">
        <v>22</v>
      </c>
      <c r="G122" s="3" t="str">
        <f aca="false">E122&amp;"-"&amp;F122</f>
        <v>Chennai-January</v>
      </c>
      <c r="H122" s="3" t="n">
        <f aca="false">INDEX(Weather_Data!$K$2:$K$73,MATCH($G122,Weather_Data!$J$2:$J$73,0))</f>
        <v>25</v>
      </c>
      <c r="I122" s="3" t="n">
        <f aca="false">INDEX(Weather_Data!$L$2:$L$73,MATCH($G122,Weather_Data!$J$2:$J$73,0))</f>
        <v>72</v>
      </c>
      <c r="J122" s="3" t="n">
        <f aca="false">INDEX(Weather_Data!$M$2:$M$73,MATCH($G122,Weather_Data!$J$2:$J$73,0))</f>
        <v>3</v>
      </c>
      <c r="K122" s="3" t="n">
        <f aca="false">INDEX(Weather_Data!$P$2:$P$73,MATCH($G122,Weather_Data!$J$2:$J$73,0))</f>
        <v>187.5</v>
      </c>
      <c r="L122" s="3" t="n">
        <f aca="false">INDEX(Weather_Data!$Q$2:$Q$73,MATCH($G122,Weather_Data!$J$2:$J$73,0))</f>
        <v>25</v>
      </c>
      <c r="M122" s="3" t="str">
        <f aca="false">INDEX(Shelter_Design!$I$2:$I$41,MATCH($B122,Shelter_Design!$A$2:$A$41,0))</f>
        <v>M02</v>
      </c>
      <c r="N122" s="3" t="n">
        <f aca="false">IFERROR(INDEX(Material_Properties!$D$2:$D$21,MATCH(M122,Material_Properties!$A$2:$A$21,0)),1)</f>
        <v>0.7</v>
      </c>
      <c r="O122" s="3" t="n">
        <f aca="false">INDEX(Shelter_Design!$M$2:$M$41,MATCH($B122,Shelter_Design!$A$2:$A$41,0))</f>
        <v>150</v>
      </c>
      <c r="P122" s="3" t="str">
        <f aca="false">INDEX(Shelter_Design!$L$2:$L$41,MATCH($B122,Shelter_Design!$A$2:$A$41,0))</f>
        <v>None</v>
      </c>
      <c r="Q122" s="3" t="n">
        <f aca="false">IF(P122="None",0,IFERROR(INDEX(Material_Properties!$D$2:$D$21,MATCH(P122,Material_Properties!$A$2:$A$21,0)),0))</f>
        <v>0</v>
      </c>
      <c r="R122" s="3" t="n">
        <f aca="false">INDEX(Shelter_Design!$O$2:$O$41,MATCH($B122,Shelter_Design!$A$2:$A$41,0))</f>
        <v>0</v>
      </c>
      <c r="S122" s="3" t="n">
        <f aca="false">(O122/1000)/N122</f>
        <v>0.214285714285714</v>
      </c>
      <c r="T122" s="3" t="n">
        <f aca="false">IF(OR(P122="None",Q122=0),0,(R122/1000)/Q122)</f>
        <v>0</v>
      </c>
      <c r="U122" s="3" t="n">
        <v>0.17</v>
      </c>
      <c r="V122" s="3" t="n">
        <f aca="false">S122+T122+U122</f>
        <v>0.384285714285714</v>
      </c>
      <c r="W122" s="3" t="n">
        <f aca="false">1/V122</f>
        <v>2.60223048327138</v>
      </c>
      <c r="X122" s="3" t="n">
        <f aca="false">INDEX(Shelter_Design!$R$2:$R$41,MATCH($B122,Shelter_Design!$A$2:$A$41,0))</f>
        <v>34.65</v>
      </c>
      <c r="Y122" s="3" t="n">
        <f aca="false">INDEX(Shelter_Design!$P$2:$P$41,MATCH($B122,Shelter_Design!$A$2:$A$41,0))</f>
        <v>1.75</v>
      </c>
      <c r="Z122" s="3" t="n">
        <f aca="false">INDEX(Shelter_Design!$G$2:$G$41,MATCH($B122,Shelter_Design!$A$2:$A$41,0))</f>
        <v>29.4</v>
      </c>
      <c r="AA122" s="3" t="n">
        <f aca="false">INDEX(Shelter_Design!$S$2:$S$41,MATCH($B122,Shelter_Design!$A$2:$A$41,0))</f>
        <v>0.0480769230769231</v>
      </c>
      <c r="AB122" s="3" t="n">
        <f aca="false">INDEX(Shelter_Design!$Y$2:$Y$41,MATCH($B122,Shelter_Design!$A$2:$A$41,0))</f>
        <v>2</v>
      </c>
      <c r="AC122" s="3" t="str">
        <f aca="false">INDEX(Shelter_Design!$Z$2:$Z$41,MATCH($B122,Shelter_Design!$A$2:$A$41,0))</f>
        <v>Light</v>
      </c>
      <c r="AD122" s="3" t="n">
        <f aca="false">INDEX(Shelter_Design!$AA$2:$AA$41,MATCH($B122,Shelter_Design!$A$2:$A$41,0))</f>
        <v>0.5</v>
      </c>
      <c r="AE122" s="3" t="s">
        <v>304</v>
      </c>
    </row>
    <row r="123" customFormat="false" ht="15" hidden="false" customHeight="true" outlineLevel="0" collapsed="false">
      <c r="A123" s="3" t="s">
        <v>425</v>
      </c>
      <c r="B123" s="3" t="s">
        <v>251</v>
      </c>
      <c r="C123" s="3" t="s">
        <v>252</v>
      </c>
      <c r="D123" s="3" t="s">
        <v>303</v>
      </c>
      <c r="E123" s="3" t="s">
        <v>67</v>
      </c>
      <c r="F123" s="3" t="s">
        <v>33</v>
      </c>
      <c r="G123" s="3" t="str">
        <f aca="false">E123&amp;"-"&amp;F123</f>
        <v>Chennai-April</v>
      </c>
      <c r="H123" s="3" t="n">
        <f aca="false">INDEX(Weather_Data!$K$2:$K$73,MATCH($G123,Weather_Data!$J$2:$J$73,0))</f>
        <v>32</v>
      </c>
      <c r="I123" s="3" t="n">
        <f aca="false">INDEX(Weather_Data!$L$2:$L$73,MATCH($G123,Weather_Data!$J$2:$J$73,0))</f>
        <v>65</v>
      </c>
      <c r="J123" s="3" t="n">
        <f aca="false">INDEX(Weather_Data!$M$2:$M$73,MATCH($G123,Weather_Data!$J$2:$J$73,0))</f>
        <v>4</v>
      </c>
      <c r="K123" s="3" t="n">
        <f aca="false">INDEX(Weather_Data!$P$2:$P$73,MATCH($G123,Weather_Data!$J$2:$J$73,0))</f>
        <v>262.5</v>
      </c>
      <c r="L123" s="3" t="n">
        <f aca="false">INDEX(Weather_Data!$Q$2:$Q$73,MATCH($G123,Weather_Data!$J$2:$J$73,0))</f>
        <v>15</v>
      </c>
      <c r="M123" s="3" t="str">
        <f aca="false">INDEX(Shelter_Design!$I$2:$I$41,MATCH($B123,Shelter_Design!$A$2:$A$41,0))</f>
        <v>M02</v>
      </c>
      <c r="N123" s="3" t="n">
        <f aca="false">IFERROR(INDEX(Material_Properties!$D$2:$D$21,MATCH(M123,Material_Properties!$A$2:$A$21,0)),1)</f>
        <v>0.7</v>
      </c>
      <c r="O123" s="3" t="n">
        <f aca="false">INDEX(Shelter_Design!$M$2:$M$41,MATCH($B123,Shelter_Design!$A$2:$A$41,0))</f>
        <v>150</v>
      </c>
      <c r="P123" s="3" t="str">
        <f aca="false">INDEX(Shelter_Design!$L$2:$L$41,MATCH($B123,Shelter_Design!$A$2:$A$41,0))</f>
        <v>None</v>
      </c>
      <c r="Q123" s="3" t="n">
        <f aca="false">IF(P123="None",0,IFERROR(INDEX(Material_Properties!$D$2:$D$21,MATCH(P123,Material_Properties!$A$2:$A$21,0)),0))</f>
        <v>0</v>
      </c>
      <c r="R123" s="3" t="n">
        <f aca="false">INDEX(Shelter_Design!$O$2:$O$41,MATCH($B123,Shelter_Design!$A$2:$A$41,0))</f>
        <v>0</v>
      </c>
      <c r="S123" s="3" t="n">
        <f aca="false">(O123/1000)/N123</f>
        <v>0.214285714285714</v>
      </c>
      <c r="T123" s="3" t="n">
        <f aca="false">IF(OR(P123="None",Q123=0),0,(R123/1000)/Q123)</f>
        <v>0</v>
      </c>
      <c r="U123" s="3" t="n">
        <v>0.17</v>
      </c>
      <c r="V123" s="3" t="n">
        <f aca="false">S123+T123+U123</f>
        <v>0.384285714285714</v>
      </c>
      <c r="W123" s="3" t="n">
        <f aca="false">1/V123</f>
        <v>2.60223048327138</v>
      </c>
      <c r="X123" s="3" t="n">
        <f aca="false">INDEX(Shelter_Design!$R$2:$R$41,MATCH($B123,Shelter_Design!$A$2:$A$41,0))</f>
        <v>34.65</v>
      </c>
      <c r="Y123" s="3" t="n">
        <f aca="false">INDEX(Shelter_Design!$P$2:$P$41,MATCH($B123,Shelter_Design!$A$2:$A$41,0))</f>
        <v>1.75</v>
      </c>
      <c r="Z123" s="3" t="n">
        <f aca="false">INDEX(Shelter_Design!$G$2:$G$41,MATCH($B123,Shelter_Design!$A$2:$A$41,0))</f>
        <v>29.4</v>
      </c>
      <c r="AA123" s="3" t="n">
        <f aca="false">INDEX(Shelter_Design!$S$2:$S$41,MATCH($B123,Shelter_Design!$A$2:$A$41,0))</f>
        <v>0.0480769230769231</v>
      </c>
      <c r="AB123" s="3" t="n">
        <f aca="false">INDEX(Shelter_Design!$Y$2:$Y$41,MATCH($B123,Shelter_Design!$A$2:$A$41,0))</f>
        <v>2</v>
      </c>
      <c r="AC123" s="3" t="str">
        <f aca="false">INDEX(Shelter_Design!$Z$2:$Z$41,MATCH($B123,Shelter_Design!$A$2:$A$41,0))</f>
        <v>Light</v>
      </c>
      <c r="AD123" s="3" t="n">
        <f aca="false">INDEX(Shelter_Design!$AA$2:$AA$41,MATCH($B123,Shelter_Design!$A$2:$A$41,0))</f>
        <v>0.5</v>
      </c>
      <c r="AE123" s="3" t="s">
        <v>304</v>
      </c>
    </row>
    <row r="124" customFormat="false" ht="15" hidden="false" customHeight="true" outlineLevel="0" collapsed="false">
      <c r="A124" s="3" t="s">
        <v>426</v>
      </c>
      <c r="B124" s="3" t="s">
        <v>251</v>
      </c>
      <c r="C124" s="3" t="s">
        <v>252</v>
      </c>
      <c r="D124" s="3" t="s">
        <v>303</v>
      </c>
      <c r="E124" s="3" t="s">
        <v>67</v>
      </c>
      <c r="F124" s="3" t="s">
        <v>42</v>
      </c>
      <c r="G124" s="3" t="str">
        <f aca="false">E124&amp;"-"&amp;F124</f>
        <v>Chennai-July</v>
      </c>
      <c r="H124" s="3" t="n">
        <f aca="false">INDEX(Weather_Data!$K$2:$K$73,MATCH($G124,Weather_Data!$J$2:$J$73,0))</f>
        <v>31</v>
      </c>
      <c r="I124" s="3" t="n">
        <f aca="false">INDEX(Weather_Data!$L$2:$L$73,MATCH($G124,Weather_Data!$J$2:$J$73,0))</f>
        <v>65</v>
      </c>
      <c r="J124" s="3" t="n">
        <f aca="false">INDEX(Weather_Data!$M$2:$M$73,MATCH($G124,Weather_Data!$J$2:$J$73,0))</f>
        <v>3.5</v>
      </c>
      <c r="K124" s="3" t="n">
        <f aca="false">INDEX(Weather_Data!$P$2:$P$73,MATCH($G124,Weather_Data!$J$2:$J$73,0))</f>
        <v>216.666666666667</v>
      </c>
      <c r="L124" s="3" t="n">
        <f aca="false">INDEX(Weather_Data!$Q$2:$Q$73,MATCH($G124,Weather_Data!$J$2:$J$73,0))</f>
        <v>90</v>
      </c>
      <c r="M124" s="3" t="str">
        <f aca="false">INDEX(Shelter_Design!$I$2:$I$41,MATCH($B124,Shelter_Design!$A$2:$A$41,0))</f>
        <v>M02</v>
      </c>
      <c r="N124" s="3" t="n">
        <f aca="false">IFERROR(INDEX(Material_Properties!$D$2:$D$21,MATCH(M124,Material_Properties!$A$2:$A$21,0)),1)</f>
        <v>0.7</v>
      </c>
      <c r="O124" s="3" t="n">
        <f aca="false">INDEX(Shelter_Design!$M$2:$M$41,MATCH($B124,Shelter_Design!$A$2:$A$41,0))</f>
        <v>150</v>
      </c>
      <c r="P124" s="3" t="str">
        <f aca="false">INDEX(Shelter_Design!$L$2:$L$41,MATCH($B124,Shelter_Design!$A$2:$A$41,0))</f>
        <v>None</v>
      </c>
      <c r="Q124" s="3" t="n">
        <f aca="false">IF(P124="None",0,IFERROR(INDEX(Material_Properties!$D$2:$D$21,MATCH(P124,Material_Properties!$A$2:$A$21,0)),0))</f>
        <v>0</v>
      </c>
      <c r="R124" s="3" t="n">
        <f aca="false">INDEX(Shelter_Design!$O$2:$O$41,MATCH($B124,Shelter_Design!$A$2:$A$41,0))</f>
        <v>0</v>
      </c>
      <c r="S124" s="3" t="n">
        <f aca="false">(O124/1000)/N124</f>
        <v>0.214285714285714</v>
      </c>
      <c r="T124" s="3" t="n">
        <f aca="false">IF(OR(P124="None",Q124=0),0,(R124/1000)/Q124)</f>
        <v>0</v>
      </c>
      <c r="U124" s="3" t="n">
        <v>0.17</v>
      </c>
      <c r="V124" s="3" t="n">
        <f aca="false">S124+T124+U124</f>
        <v>0.384285714285714</v>
      </c>
      <c r="W124" s="3" t="n">
        <f aca="false">1/V124</f>
        <v>2.60223048327138</v>
      </c>
      <c r="X124" s="3" t="n">
        <f aca="false">INDEX(Shelter_Design!$R$2:$R$41,MATCH($B124,Shelter_Design!$A$2:$A$41,0))</f>
        <v>34.65</v>
      </c>
      <c r="Y124" s="3" t="n">
        <f aca="false">INDEX(Shelter_Design!$P$2:$P$41,MATCH($B124,Shelter_Design!$A$2:$A$41,0))</f>
        <v>1.75</v>
      </c>
      <c r="Z124" s="3" t="n">
        <f aca="false">INDEX(Shelter_Design!$G$2:$G$41,MATCH($B124,Shelter_Design!$A$2:$A$41,0))</f>
        <v>29.4</v>
      </c>
      <c r="AA124" s="3" t="n">
        <f aca="false">INDEX(Shelter_Design!$S$2:$S$41,MATCH($B124,Shelter_Design!$A$2:$A$41,0))</f>
        <v>0.0480769230769231</v>
      </c>
      <c r="AB124" s="3" t="n">
        <f aca="false">INDEX(Shelter_Design!$Y$2:$Y$41,MATCH($B124,Shelter_Design!$A$2:$A$41,0))</f>
        <v>2</v>
      </c>
      <c r="AC124" s="3" t="str">
        <f aca="false">INDEX(Shelter_Design!$Z$2:$Z$41,MATCH($B124,Shelter_Design!$A$2:$A$41,0))</f>
        <v>Light</v>
      </c>
      <c r="AD124" s="3" t="n">
        <f aca="false">INDEX(Shelter_Design!$AA$2:$AA$41,MATCH($B124,Shelter_Design!$A$2:$A$41,0))</f>
        <v>0.5</v>
      </c>
      <c r="AE124" s="3" t="s">
        <v>304</v>
      </c>
    </row>
    <row r="125" customFormat="false" ht="15" hidden="false" customHeight="true" outlineLevel="0" collapsed="false">
      <c r="A125" s="3" t="s">
        <v>427</v>
      </c>
      <c r="B125" s="3" t="s">
        <v>251</v>
      </c>
      <c r="C125" s="3" t="s">
        <v>252</v>
      </c>
      <c r="D125" s="3" t="s">
        <v>303</v>
      </c>
      <c r="E125" s="3" t="s">
        <v>67</v>
      </c>
      <c r="F125" s="3" t="s">
        <v>46</v>
      </c>
      <c r="G125" s="3" t="str">
        <f aca="false">E125&amp;"-"&amp;F125</f>
        <v>Chennai-September</v>
      </c>
      <c r="H125" s="3" t="n">
        <f aca="false">INDEX(Weather_Data!$K$2:$K$73,MATCH($G125,Weather_Data!$J$2:$J$73,0))</f>
        <v>30</v>
      </c>
      <c r="I125" s="3" t="n">
        <f aca="false">INDEX(Weather_Data!$L$2:$L$73,MATCH($G125,Weather_Data!$J$2:$J$73,0))</f>
        <v>72</v>
      </c>
      <c r="J125" s="3" t="n">
        <f aca="false">INDEX(Weather_Data!$M$2:$M$73,MATCH($G125,Weather_Data!$J$2:$J$73,0))</f>
        <v>3.5</v>
      </c>
      <c r="K125" s="3" t="n">
        <f aca="false">INDEX(Weather_Data!$P$2:$P$73,MATCH($G125,Weather_Data!$J$2:$J$73,0))</f>
        <v>216.666666666667</v>
      </c>
      <c r="L125" s="3" t="n">
        <f aca="false">INDEX(Weather_Data!$Q$2:$Q$73,MATCH($G125,Weather_Data!$J$2:$J$73,0))</f>
        <v>120</v>
      </c>
      <c r="M125" s="3" t="str">
        <f aca="false">INDEX(Shelter_Design!$I$2:$I$41,MATCH($B125,Shelter_Design!$A$2:$A$41,0))</f>
        <v>M02</v>
      </c>
      <c r="N125" s="3" t="n">
        <f aca="false">IFERROR(INDEX(Material_Properties!$D$2:$D$21,MATCH(M125,Material_Properties!$A$2:$A$21,0)),1)</f>
        <v>0.7</v>
      </c>
      <c r="O125" s="3" t="n">
        <f aca="false">INDEX(Shelter_Design!$M$2:$M$41,MATCH($B125,Shelter_Design!$A$2:$A$41,0))</f>
        <v>150</v>
      </c>
      <c r="P125" s="3" t="str">
        <f aca="false">INDEX(Shelter_Design!$L$2:$L$41,MATCH($B125,Shelter_Design!$A$2:$A$41,0))</f>
        <v>None</v>
      </c>
      <c r="Q125" s="3" t="n">
        <f aca="false">IF(P125="None",0,IFERROR(INDEX(Material_Properties!$D$2:$D$21,MATCH(P125,Material_Properties!$A$2:$A$21,0)),0))</f>
        <v>0</v>
      </c>
      <c r="R125" s="3" t="n">
        <f aca="false">INDEX(Shelter_Design!$O$2:$O$41,MATCH($B125,Shelter_Design!$A$2:$A$41,0))</f>
        <v>0</v>
      </c>
      <c r="S125" s="3" t="n">
        <f aca="false">(O125/1000)/N125</f>
        <v>0.214285714285714</v>
      </c>
      <c r="T125" s="3" t="n">
        <f aca="false">IF(OR(P125="None",Q125=0),0,(R125/1000)/Q125)</f>
        <v>0</v>
      </c>
      <c r="U125" s="3" t="n">
        <v>0.17</v>
      </c>
      <c r="V125" s="3" t="n">
        <f aca="false">S125+T125+U125</f>
        <v>0.384285714285714</v>
      </c>
      <c r="W125" s="3" t="n">
        <f aca="false">1/V125</f>
        <v>2.60223048327138</v>
      </c>
      <c r="X125" s="3" t="n">
        <f aca="false">INDEX(Shelter_Design!$R$2:$R$41,MATCH($B125,Shelter_Design!$A$2:$A$41,0))</f>
        <v>34.65</v>
      </c>
      <c r="Y125" s="3" t="n">
        <f aca="false">INDEX(Shelter_Design!$P$2:$P$41,MATCH($B125,Shelter_Design!$A$2:$A$41,0))</f>
        <v>1.75</v>
      </c>
      <c r="Z125" s="3" t="n">
        <f aca="false">INDEX(Shelter_Design!$G$2:$G$41,MATCH($B125,Shelter_Design!$A$2:$A$41,0))</f>
        <v>29.4</v>
      </c>
      <c r="AA125" s="3" t="n">
        <f aca="false">INDEX(Shelter_Design!$S$2:$S$41,MATCH($B125,Shelter_Design!$A$2:$A$41,0))</f>
        <v>0.0480769230769231</v>
      </c>
      <c r="AB125" s="3" t="n">
        <f aca="false">INDEX(Shelter_Design!$Y$2:$Y$41,MATCH($B125,Shelter_Design!$A$2:$A$41,0))</f>
        <v>2</v>
      </c>
      <c r="AC125" s="3" t="str">
        <f aca="false">INDEX(Shelter_Design!$Z$2:$Z$41,MATCH($B125,Shelter_Design!$A$2:$A$41,0))</f>
        <v>Light</v>
      </c>
      <c r="AD125" s="3" t="n">
        <f aca="false">INDEX(Shelter_Design!$AA$2:$AA$41,MATCH($B125,Shelter_Design!$A$2:$A$41,0))</f>
        <v>0.5</v>
      </c>
      <c r="AE125" s="3" t="s">
        <v>304</v>
      </c>
    </row>
    <row r="126" customFormat="false" ht="15" hidden="false" customHeight="true" outlineLevel="0" collapsed="false">
      <c r="A126" s="3" t="s">
        <v>428</v>
      </c>
      <c r="B126" s="3" t="s">
        <v>251</v>
      </c>
      <c r="C126" s="3" t="s">
        <v>252</v>
      </c>
      <c r="D126" s="3" t="s">
        <v>303</v>
      </c>
      <c r="E126" s="3" t="s">
        <v>67</v>
      </c>
      <c r="F126" s="3" t="s">
        <v>51</v>
      </c>
      <c r="G126" s="3" t="str">
        <f aca="false">E126&amp;"-"&amp;F126</f>
        <v>Chennai-November</v>
      </c>
      <c r="H126" s="3" t="n">
        <f aca="false">INDEX(Weather_Data!$K$2:$K$73,MATCH($G126,Weather_Data!$J$2:$J$73,0))</f>
        <v>26</v>
      </c>
      <c r="I126" s="3" t="n">
        <f aca="false">INDEX(Weather_Data!$L$2:$L$73,MATCH($G126,Weather_Data!$J$2:$J$73,0))</f>
        <v>80</v>
      </c>
      <c r="J126" s="3" t="n">
        <f aca="false">INDEX(Weather_Data!$M$2:$M$73,MATCH($G126,Weather_Data!$J$2:$J$73,0))</f>
        <v>5</v>
      </c>
      <c r="K126" s="3" t="n">
        <f aca="false">INDEX(Weather_Data!$P$2:$P$73,MATCH($G126,Weather_Data!$J$2:$J$73,0))</f>
        <v>158.333333333333</v>
      </c>
      <c r="L126" s="3" t="n">
        <f aca="false">INDEX(Weather_Data!$Q$2:$Q$73,MATCH($G126,Weather_Data!$J$2:$J$73,0))</f>
        <v>320</v>
      </c>
      <c r="M126" s="3" t="str">
        <f aca="false">INDEX(Shelter_Design!$I$2:$I$41,MATCH($B126,Shelter_Design!$A$2:$A$41,0))</f>
        <v>M02</v>
      </c>
      <c r="N126" s="3" t="n">
        <f aca="false">IFERROR(INDEX(Material_Properties!$D$2:$D$21,MATCH(M126,Material_Properties!$A$2:$A$21,0)),1)</f>
        <v>0.7</v>
      </c>
      <c r="O126" s="3" t="n">
        <f aca="false">INDEX(Shelter_Design!$M$2:$M$41,MATCH($B126,Shelter_Design!$A$2:$A$41,0))</f>
        <v>150</v>
      </c>
      <c r="P126" s="3" t="str">
        <f aca="false">INDEX(Shelter_Design!$L$2:$L$41,MATCH($B126,Shelter_Design!$A$2:$A$41,0))</f>
        <v>None</v>
      </c>
      <c r="Q126" s="3" t="n">
        <f aca="false">IF(P126="None",0,IFERROR(INDEX(Material_Properties!$D$2:$D$21,MATCH(P126,Material_Properties!$A$2:$A$21,0)),0))</f>
        <v>0</v>
      </c>
      <c r="R126" s="3" t="n">
        <f aca="false">INDEX(Shelter_Design!$O$2:$O$41,MATCH($B126,Shelter_Design!$A$2:$A$41,0))</f>
        <v>0</v>
      </c>
      <c r="S126" s="3" t="n">
        <f aca="false">(O126/1000)/N126</f>
        <v>0.214285714285714</v>
      </c>
      <c r="T126" s="3" t="n">
        <f aca="false">IF(OR(P126="None",Q126=0),0,(R126/1000)/Q126)</f>
        <v>0</v>
      </c>
      <c r="U126" s="3" t="n">
        <v>0.17</v>
      </c>
      <c r="V126" s="3" t="n">
        <f aca="false">S126+T126+U126</f>
        <v>0.384285714285714</v>
      </c>
      <c r="W126" s="3" t="n">
        <f aca="false">1/V126</f>
        <v>2.60223048327138</v>
      </c>
      <c r="X126" s="3" t="n">
        <f aca="false">INDEX(Shelter_Design!$R$2:$R$41,MATCH($B126,Shelter_Design!$A$2:$A$41,0))</f>
        <v>34.65</v>
      </c>
      <c r="Y126" s="3" t="n">
        <f aca="false">INDEX(Shelter_Design!$P$2:$P$41,MATCH($B126,Shelter_Design!$A$2:$A$41,0))</f>
        <v>1.75</v>
      </c>
      <c r="Z126" s="3" t="n">
        <f aca="false">INDEX(Shelter_Design!$G$2:$G$41,MATCH($B126,Shelter_Design!$A$2:$A$41,0))</f>
        <v>29.4</v>
      </c>
      <c r="AA126" s="3" t="n">
        <f aca="false">INDEX(Shelter_Design!$S$2:$S$41,MATCH($B126,Shelter_Design!$A$2:$A$41,0))</f>
        <v>0.0480769230769231</v>
      </c>
      <c r="AB126" s="3" t="n">
        <f aca="false">INDEX(Shelter_Design!$Y$2:$Y$41,MATCH($B126,Shelter_Design!$A$2:$A$41,0))</f>
        <v>2</v>
      </c>
      <c r="AC126" s="3" t="str">
        <f aca="false">INDEX(Shelter_Design!$Z$2:$Z$41,MATCH($B126,Shelter_Design!$A$2:$A$41,0))</f>
        <v>Light</v>
      </c>
      <c r="AD126" s="3" t="n">
        <f aca="false">INDEX(Shelter_Design!$AA$2:$AA$41,MATCH($B126,Shelter_Design!$A$2:$A$41,0))</f>
        <v>0.5</v>
      </c>
      <c r="AE126" s="3" t="s">
        <v>304</v>
      </c>
    </row>
    <row r="127" customFormat="false" ht="15" hidden="false" customHeight="true" outlineLevel="0" collapsed="false">
      <c r="A127" s="3" t="s">
        <v>429</v>
      </c>
      <c r="B127" s="3" t="s">
        <v>257</v>
      </c>
      <c r="C127" s="3" t="s">
        <v>252</v>
      </c>
      <c r="D127" s="3" t="s">
        <v>303</v>
      </c>
      <c r="E127" s="3" t="s">
        <v>67</v>
      </c>
      <c r="F127" s="3" t="s">
        <v>22</v>
      </c>
      <c r="G127" s="3" t="str">
        <f aca="false">E127&amp;"-"&amp;F127</f>
        <v>Chennai-January</v>
      </c>
      <c r="H127" s="3" t="n">
        <f aca="false">INDEX(Weather_Data!$K$2:$K$73,MATCH($G127,Weather_Data!$J$2:$J$73,0))</f>
        <v>25</v>
      </c>
      <c r="I127" s="3" t="n">
        <f aca="false">INDEX(Weather_Data!$L$2:$L$73,MATCH($G127,Weather_Data!$J$2:$J$73,0))</f>
        <v>72</v>
      </c>
      <c r="J127" s="3" t="n">
        <f aca="false">INDEX(Weather_Data!$M$2:$M$73,MATCH($G127,Weather_Data!$J$2:$J$73,0))</f>
        <v>3</v>
      </c>
      <c r="K127" s="3" t="n">
        <f aca="false">INDEX(Weather_Data!$P$2:$P$73,MATCH($G127,Weather_Data!$J$2:$J$73,0))</f>
        <v>187.5</v>
      </c>
      <c r="L127" s="3" t="n">
        <f aca="false">INDEX(Weather_Data!$Q$2:$Q$73,MATCH($G127,Weather_Data!$J$2:$J$73,0))</f>
        <v>25</v>
      </c>
      <c r="M127" s="3" t="str">
        <f aca="false">INDEX(Shelter_Design!$I$2:$I$41,MATCH($B127,Shelter_Design!$A$2:$A$41,0))</f>
        <v>M02</v>
      </c>
      <c r="N127" s="3" t="n">
        <f aca="false">IFERROR(INDEX(Material_Properties!$D$2:$D$21,MATCH(M127,Material_Properties!$A$2:$A$21,0)),1)</f>
        <v>0.7</v>
      </c>
      <c r="O127" s="3" t="n">
        <f aca="false">INDEX(Shelter_Design!$M$2:$M$41,MATCH($B127,Shelter_Design!$A$2:$A$41,0))</f>
        <v>150</v>
      </c>
      <c r="P127" s="3" t="str">
        <f aca="false">INDEX(Shelter_Design!$L$2:$L$41,MATCH($B127,Shelter_Design!$A$2:$A$41,0))</f>
        <v>None</v>
      </c>
      <c r="Q127" s="3" t="n">
        <f aca="false">IF(P127="None",0,IFERROR(INDEX(Material_Properties!$D$2:$D$21,MATCH(P127,Material_Properties!$A$2:$A$21,0)),0))</f>
        <v>0</v>
      </c>
      <c r="R127" s="3" t="n">
        <f aca="false">INDEX(Shelter_Design!$O$2:$O$41,MATCH($B127,Shelter_Design!$A$2:$A$41,0))</f>
        <v>0</v>
      </c>
      <c r="S127" s="3" t="n">
        <f aca="false">(O127/1000)/N127</f>
        <v>0.214285714285714</v>
      </c>
      <c r="T127" s="3" t="n">
        <f aca="false">IF(OR(P127="None",Q127=0),0,(R127/1000)/Q127)</f>
        <v>0</v>
      </c>
      <c r="U127" s="3" t="n">
        <v>0.17</v>
      </c>
      <c r="V127" s="3" t="n">
        <f aca="false">S127+T127+U127</f>
        <v>0.384285714285714</v>
      </c>
      <c r="W127" s="3" t="n">
        <f aca="false">1/V127</f>
        <v>2.60223048327138</v>
      </c>
      <c r="X127" s="3" t="n">
        <f aca="false">INDEX(Shelter_Design!$R$2:$R$41,MATCH($B127,Shelter_Design!$A$2:$A$41,0))</f>
        <v>51.5</v>
      </c>
      <c r="Y127" s="3" t="n">
        <f aca="false">INDEX(Shelter_Design!$P$2:$P$41,MATCH($B127,Shelter_Design!$A$2:$A$41,0))</f>
        <v>2.5</v>
      </c>
      <c r="Z127" s="3" t="n">
        <f aca="false">INDEX(Shelter_Design!$G$2:$G$41,MATCH($B127,Shelter_Design!$A$2:$A$41,0))</f>
        <v>60</v>
      </c>
      <c r="AA127" s="3" t="n">
        <f aca="false">INDEX(Shelter_Design!$S$2:$S$41,MATCH($B127,Shelter_Design!$A$2:$A$41,0))</f>
        <v>0.0462962962962963</v>
      </c>
      <c r="AB127" s="3" t="n">
        <f aca="false">INDEX(Shelter_Design!$Y$2:$Y$41,MATCH($B127,Shelter_Design!$A$2:$A$41,0))</f>
        <v>5</v>
      </c>
      <c r="AC127" s="3" t="str">
        <f aca="false">INDEX(Shelter_Design!$Z$2:$Z$41,MATCH($B127,Shelter_Design!$A$2:$A$41,0))</f>
        <v>Light</v>
      </c>
      <c r="AD127" s="3" t="n">
        <f aca="false">INDEX(Shelter_Design!$AA$2:$AA$41,MATCH($B127,Shelter_Design!$A$2:$A$41,0))</f>
        <v>0.5</v>
      </c>
      <c r="AE127" s="3" t="s">
        <v>304</v>
      </c>
    </row>
    <row r="128" customFormat="false" ht="15" hidden="false" customHeight="true" outlineLevel="0" collapsed="false">
      <c r="A128" s="3" t="s">
        <v>430</v>
      </c>
      <c r="B128" s="3" t="s">
        <v>257</v>
      </c>
      <c r="C128" s="3" t="s">
        <v>252</v>
      </c>
      <c r="D128" s="3" t="s">
        <v>303</v>
      </c>
      <c r="E128" s="3" t="s">
        <v>67</v>
      </c>
      <c r="F128" s="3" t="s">
        <v>33</v>
      </c>
      <c r="G128" s="3" t="str">
        <f aca="false">E128&amp;"-"&amp;F128</f>
        <v>Chennai-April</v>
      </c>
      <c r="H128" s="3" t="n">
        <f aca="false">INDEX(Weather_Data!$K$2:$K$73,MATCH($G128,Weather_Data!$J$2:$J$73,0))</f>
        <v>32</v>
      </c>
      <c r="I128" s="3" t="n">
        <f aca="false">INDEX(Weather_Data!$L$2:$L$73,MATCH($G128,Weather_Data!$J$2:$J$73,0))</f>
        <v>65</v>
      </c>
      <c r="J128" s="3" t="n">
        <f aca="false">INDEX(Weather_Data!$M$2:$M$73,MATCH($G128,Weather_Data!$J$2:$J$73,0))</f>
        <v>4</v>
      </c>
      <c r="K128" s="3" t="n">
        <f aca="false">INDEX(Weather_Data!$P$2:$P$73,MATCH($G128,Weather_Data!$J$2:$J$73,0))</f>
        <v>262.5</v>
      </c>
      <c r="L128" s="3" t="n">
        <f aca="false">INDEX(Weather_Data!$Q$2:$Q$73,MATCH($G128,Weather_Data!$J$2:$J$73,0))</f>
        <v>15</v>
      </c>
      <c r="M128" s="3" t="str">
        <f aca="false">INDEX(Shelter_Design!$I$2:$I$41,MATCH($B128,Shelter_Design!$A$2:$A$41,0))</f>
        <v>M02</v>
      </c>
      <c r="N128" s="3" t="n">
        <f aca="false">IFERROR(INDEX(Material_Properties!$D$2:$D$21,MATCH(M128,Material_Properties!$A$2:$A$21,0)),1)</f>
        <v>0.7</v>
      </c>
      <c r="O128" s="3" t="n">
        <f aca="false">INDEX(Shelter_Design!$M$2:$M$41,MATCH($B128,Shelter_Design!$A$2:$A$41,0))</f>
        <v>150</v>
      </c>
      <c r="P128" s="3" t="str">
        <f aca="false">INDEX(Shelter_Design!$L$2:$L$41,MATCH($B128,Shelter_Design!$A$2:$A$41,0))</f>
        <v>None</v>
      </c>
      <c r="Q128" s="3" t="n">
        <f aca="false">IF(P128="None",0,IFERROR(INDEX(Material_Properties!$D$2:$D$21,MATCH(P128,Material_Properties!$A$2:$A$21,0)),0))</f>
        <v>0</v>
      </c>
      <c r="R128" s="3" t="n">
        <f aca="false">INDEX(Shelter_Design!$O$2:$O$41,MATCH($B128,Shelter_Design!$A$2:$A$41,0))</f>
        <v>0</v>
      </c>
      <c r="S128" s="3" t="n">
        <f aca="false">(O128/1000)/N128</f>
        <v>0.214285714285714</v>
      </c>
      <c r="T128" s="3" t="n">
        <f aca="false">IF(OR(P128="None",Q128=0),0,(R128/1000)/Q128)</f>
        <v>0</v>
      </c>
      <c r="U128" s="3" t="n">
        <v>0.17</v>
      </c>
      <c r="V128" s="3" t="n">
        <f aca="false">S128+T128+U128</f>
        <v>0.384285714285714</v>
      </c>
      <c r="W128" s="3" t="n">
        <f aca="false">1/V128</f>
        <v>2.60223048327138</v>
      </c>
      <c r="X128" s="3" t="n">
        <f aca="false">INDEX(Shelter_Design!$R$2:$R$41,MATCH($B128,Shelter_Design!$A$2:$A$41,0))</f>
        <v>51.5</v>
      </c>
      <c r="Y128" s="3" t="n">
        <f aca="false">INDEX(Shelter_Design!$P$2:$P$41,MATCH($B128,Shelter_Design!$A$2:$A$41,0))</f>
        <v>2.5</v>
      </c>
      <c r="Z128" s="3" t="n">
        <f aca="false">INDEX(Shelter_Design!$G$2:$G$41,MATCH($B128,Shelter_Design!$A$2:$A$41,0))</f>
        <v>60</v>
      </c>
      <c r="AA128" s="3" t="n">
        <f aca="false">INDEX(Shelter_Design!$S$2:$S$41,MATCH($B128,Shelter_Design!$A$2:$A$41,0))</f>
        <v>0.0462962962962963</v>
      </c>
      <c r="AB128" s="3" t="n">
        <f aca="false">INDEX(Shelter_Design!$Y$2:$Y$41,MATCH($B128,Shelter_Design!$A$2:$A$41,0))</f>
        <v>5</v>
      </c>
      <c r="AC128" s="3" t="str">
        <f aca="false">INDEX(Shelter_Design!$Z$2:$Z$41,MATCH($B128,Shelter_Design!$A$2:$A$41,0))</f>
        <v>Light</v>
      </c>
      <c r="AD128" s="3" t="n">
        <f aca="false">INDEX(Shelter_Design!$AA$2:$AA$41,MATCH($B128,Shelter_Design!$A$2:$A$41,0))</f>
        <v>0.5</v>
      </c>
      <c r="AE128" s="3" t="s">
        <v>304</v>
      </c>
    </row>
    <row r="129" customFormat="false" ht="15" hidden="false" customHeight="true" outlineLevel="0" collapsed="false">
      <c r="A129" s="3" t="s">
        <v>431</v>
      </c>
      <c r="B129" s="3" t="s">
        <v>257</v>
      </c>
      <c r="C129" s="3" t="s">
        <v>252</v>
      </c>
      <c r="D129" s="3" t="s">
        <v>303</v>
      </c>
      <c r="E129" s="3" t="s">
        <v>67</v>
      </c>
      <c r="F129" s="3" t="s">
        <v>42</v>
      </c>
      <c r="G129" s="3" t="str">
        <f aca="false">E129&amp;"-"&amp;F129</f>
        <v>Chennai-July</v>
      </c>
      <c r="H129" s="3" t="n">
        <f aca="false">INDEX(Weather_Data!$K$2:$K$73,MATCH($G129,Weather_Data!$J$2:$J$73,0))</f>
        <v>31</v>
      </c>
      <c r="I129" s="3" t="n">
        <f aca="false">INDEX(Weather_Data!$L$2:$L$73,MATCH($G129,Weather_Data!$J$2:$J$73,0))</f>
        <v>65</v>
      </c>
      <c r="J129" s="3" t="n">
        <f aca="false">INDEX(Weather_Data!$M$2:$M$73,MATCH($G129,Weather_Data!$J$2:$J$73,0))</f>
        <v>3.5</v>
      </c>
      <c r="K129" s="3" t="n">
        <f aca="false">INDEX(Weather_Data!$P$2:$P$73,MATCH($G129,Weather_Data!$J$2:$J$73,0))</f>
        <v>216.666666666667</v>
      </c>
      <c r="L129" s="3" t="n">
        <f aca="false">INDEX(Weather_Data!$Q$2:$Q$73,MATCH($G129,Weather_Data!$J$2:$J$73,0))</f>
        <v>90</v>
      </c>
      <c r="M129" s="3" t="str">
        <f aca="false">INDEX(Shelter_Design!$I$2:$I$41,MATCH($B129,Shelter_Design!$A$2:$A$41,0))</f>
        <v>M02</v>
      </c>
      <c r="N129" s="3" t="n">
        <f aca="false">IFERROR(INDEX(Material_Properties!$D$2:$D$21,MATCH(M129,Material_Properties!$A$2:$A$21,0)),1)</f>
        <v>0.7</v>
      </c>
      <c r="O129" s="3" t="n">
        <f aca="false">INDEX(Shelter_Design!$M$2:$M$41,MATCH($B129,Shelter_Design!$A$2:$A$41,0))</f>
        <v>150</v>
      </c>
      <c r="P129" s="3" t="str">
        <f aca="false">INDEX(Shelter_Design!$L$2:$L$41,MATCH($B129,Shelter_Design!$A$2:$A$41,0))</f>
        <v>None</v>
      </c>
      <c r="Q129" s="3" t="n">
        <f aca="false">IF(P129="None",0,IFERROR(INDEX(Material_Properties!$D$2:$D$21,MATCH(P129,Material_Properties!$A$2:$A$21,0)),0))</f>
        <v>0</v>
      </c>
      <c r="R129" s="3" t="n">
        <f aca="false">INDEX(Shelter_Design!$O$2:$O$41,MATCH($B129,Shelter_Design!$A$2:$A$41,0))</f>
        <v>0</v>
      </c>
      <c r="S129" s="3" t="n">
        <f aca="false">(O129/1000)/N129</f>
        <v>0.214285714285714</v>
      </c>
      <c r="T129" s="3" t="n">
        <f aca="false">IF(OR(P129="None",Q129=0),0,(R129/1000)/Q129)</f>
        <v>0</v>
      </c>
      <c r="U129" s="3" t="n">
        <v>0.17</v>
      </c>
      <c r="V129" s="3" t="n">
        <f aca="false">S129+T129+U129</f>
        <v>0.384285714285714</v>
      </c>
      <c r="W129" s="3" t="n">
        <f aca="false">1/V129</f>
        <v>2.60223048327138</v>
      </c>
      <c r="X129" s="3" t="n">
        <f aca="false">INDEX(Shelter_Design!$R$2:$R$41,MATCH($B129,Shelter_Design!$A$2:$A$41,0))</f>
        <v>51.5</v>
      </c>
      <c r="Y129" s="3" t="n">
        <f aca="false">INDEX(Shelter_Design!$P$2:$P$41,MATCH($B129,Shelter_Design!$A$2:$A$41,0))</f>
        <v>2.5</v>
      </c>
      <c r="Z129" s="3" t="n">
        <f aca="false">INDEX(Shelter_Design!$G$2:$G$41,MATCH($B129,Shelter_Design!$A$2:$A$41,0))</f>
        <v>60</v>
      </c>
      <c r="AA129" s="3" t="n">
        <f aca="false">INDEX(Shelter_Design!$S$2:$S$41,MATCH($B129,Shelter_Design!$A$2:$A$41,0))</f>
        <v>0.0462962962962963</v>
      </c>
      <c r="AB129" s="3" t="n">
        <f aca="false">INDEX(Shelter_Design!$Y$2:$Y$41,MATCH($B129,Shelter_Design!$A$2:$A$41,0))</f>
        <v>5</v>
      </c>
      <c r="AC129" s="3" t="str">
        <f aca="false">INDEX(Shelter_Design!$Z$2:$Z$41,MATCH($B129,Shelter_Design!$A$2:$A$41,0))</f>
        <v>Light</v>
      </c>
      <c r="AD129" s="3" t="n">
        <f aca="false">INDEX(Shelter_Design!$AA$2:$AA$41,MATCH($B129,Shelter_Design!$A$2:$A$41,0))</f>
        <v>0.5</v>
      </c>
      <c r="AE129" s="3" t="s">
        <v>304</v>
      </c>
    </row>
    <row r="130" customFormat="false" ht="15" hidden="false" customHeight="true" outlineLevel="0" collapsed="false">
      <c r="A130" s="3" t="s">
        <v>432</v>
      </c>
      <c r="B130" s="3" t="s">
        <v>257</v>
      </c>
      <c r="C130" s="3" t="s">
        <v>252</v>
      </c>
      <c r="D130" s="3" t="s">
        <v>303</v>
      </c>
      <c r="E130" s="3" t="s">
        <v>67</v>
      </c>
      <c r="F130" s="3" t="s">
        <v>46</v>
      </c>
      <c r="G130" s="3" t="str">
        <f aca="false">E130&amp;"-"&amp;F130</f>
        <v>Chennai-September</v>
      </c>
      <c r="H130" s="3" t="n">
        <f aca="false">INDEX(Weather_Data!$K$2:$K$73,MATCH($G130,Weather_Data!$J$2:$J$73,0))</f>
        <v>30</v>
      </c>
      <c r="I130" s="3" t="n">
        <f aca="false">INDEX(Weather_Data!$L$2:$L$73,MATCH($G130,Weather_Data!$J$2:$J$73,0))</f>
        <v>72</v>
      </c>
      <c r="J130" s="3" t="n">
        <f aca="false">INDEX(Weather_Data!$M$2:$M$73,MATCH($G130,Weather_Data!$J$2:$J$73,0))</f>
        <v>3.5</v>
      </c>
      <c r="K130" s="3" t="n">
        <f aca="false">INDEX(Weather_Data!$P$2:$P$73,MATCH($G130,Weather_Data!$J$2:$J$73,0))</f>
        <v>216.666666666667</v>
      </c>
      <c r="L130" s="3" t="n">
        <f aca="false">INDEX(Weather_Data!$Q$2:$Q$73,MATCH($G130,Weather_Data!$J$2:$J$73,0))</f>
        <v>120</v>
      </c>
      <c r="M130" s="3" t="str">
        <f aca="false">INDEX(Shelter_Design!$I$2:$I$41,MATCH($B130,Shelter_Design!$A$2:$A$41,0))</f>
        <v>M02</v>
      </c>
      <c r="N130" s="3" t="n">
        <f aca="false">IFERROR(INDEX(Material_Properties!$D$2:$D$21,MATCH(M130,Material_Properties!$A$2:$A$21,0)),1)</f>
        <v>0.7</v>
      </c>
      <c r="O130" s="3" t="n">
        <f aca="false">INDEX(Shelter_Design!$M$2:$M$41,MATCH($B130,Shelter_Design!$A$2:$A$41,0))</f>
        <v>150</v>
      </c>
      <c r="P130" s="3" t="str">
        <f aca="false">INDEX(Shelter_Design!$L$2:$L$41,MATCH($B130,Shelter_Design!$A$2:$A$41,0))</f>
        <v>None</v>
      </c>
      <c r="Q130" s="3" t="n">
        <f aca="false">IF(P130="None",0,IFERROR(INDEX(Material_Properties!$D$2:$D$21,MATCH(P130,Material_Properties!$A$2:$A$21,0)),0))</f>
        <v>0</v>
      </c>
      <c r="R130" s="3" t="n">
        <f aca="false">INDEX(Shelter_Design!$O$2:$O$41,MATCH($B130,Shelter_Design!$A$2:$A$41,0))</f>
        <v>0</v>
      </c>
      <c r="S130" s="3" t="n">
        <f aca="false">(O130/1000)/N130</f>
        <v>0.214285714285714</v>
      </c>
      <c r="T130" s="3" t="n">
        <f aca="false">IF(OR(P130="None",Q130=0),0,(R130/1000)/Q130)</f>
        <v>0</v>
      </c>
      <c r="U130" s="3" t="n">
        <v>0.17</v>
      </c>
      <c r="V130" s="3" t="n">
        <f aca="false">S130+T130+U130</f>
        <v>0.384285714285714</v>
      </c>
      <c r="W130" s="3" t="n">
        <f aca="false">1/V130</f>
        <v>2.60223048327138</v>
      </c>
      <c r="X130" s="3" t="n">
        <f aca="false">INDEX(Shelter_Design!$R$2:$R$41,MATCH($B130,Shelter_Design!$A$2:$A$41,0))</f>
        <v>51.5</v>
      </c>
      <c r="Y130" s="3" t="n">
        <f aca="false">INDEX(Shelter_Design!$P$2:$P$41,MATCH($B130,Shelter_Design!$A$2:$A$41,0))</f>
        <v>2.5</v>
      </c>
      <c r="Z130" s="3" t="n">
        <f aca="false">INDEX(Shelter_Design!$G$2:$G$41,MATCH($B130,Shelter_Design!$A$2:$A$41,0))</f>
        <v>60</v>
      </c>
      <c r="AA130" s="3" t="n">
        <f aca="false">INDEX(Shelter_Design!$S$2:$S$41,MATCH($B130,Shelter_Design!$A$2:$A$41,0))</f>
        <v>0.0462962962962963</v>
      </c>
      <c r="AB130" s="3" t="n">
        <f aca="false">INDEX(Shelter_Design!$Y$2:$Y$41,MATCH($B130,Shelter_Design!$A$2:$A$41,0))</f>
        <v>5</v>
      </c>
      <c r="AC130" s="3" t="str">
        <f aca="false">INDEX(Shelter_Design!$Z$2:$Z$41,MATCH($B130,Shelter_Design!$A$2:$A$41,0))</f>
        <v>Light</v>
      </c>
      <c r="AD130" s="3" t="n">
        <f aca="false">INDEX(Shelter_Design!$AA$2:$AA$41,MATCH($B130,Shelter_Design!$A$2:$A$41,0))</f>
        <v>0.5</v>
      </c>
      <c r="AE130" s="3" t="s">
        <v>304</v>
      </c>
    </row>
    <row r="131" customFormat="false" ht="15" hidden="false" customHeight="true" outlineLevel="0" collapsed="false">
      <c r="A131" s="3" t="s">
        <v>433</v>
      </c>
      <c r="B131" s="3" t="s">
        <v>257</v>
      </c>
      <c r="C131" s="3" t="s">
        <v>252</v>
      </c>
      <c r="D131" s="3" t="s">
        <v>303</v>
      </c>
      <c r="E131" s="3" t="s">
        <v>67</v>
      </c>
      <c r="F131" s="3" t="s">
        <v>51</v>
      </c>
      <c r="G131" s="3" t="str">
        <f aca="false">E131&amp;"-"&amp;F131</f>
        <v>Chennai-November</v>
      </c>
      <c r="H131" s="3" t="n">
        <f aca="false">INDEX(Weather_Data!$K$2:$K$73,MATCH($G131,Weather_Data!$J$2:$J$73,0))</f>
        <v>26</v>
      </c>
      <c r="I131" s="3" t="n">
        <f aca="false">INDEX(Weather_Data!$L$2:$L$73,MATCH($G131,Weather_Data!$J$2:$J$73,0))</f>
        <v>80</v>
      </c>
      <c r="J131" s="3" t="n">
        <f aca="false">INDEX(Weather_Data!$M$2:$M$73,MATCH($G131,Weather_Data!$J$2:$J$73,0))</f>
        <v>5</v>
      </c>
      <c r="K131" s="3" t="n">
        <f aca="false">INDEX(Weather_Data!$P$2:$P$73,MATCH($G131,Weather_Data!$J$2:$J$73,0))</f>
        <v>158.333333333333</v>
      </c>
      <c r="L131" s="3" t="n">
        <f aca="false">INDEX(Weather_Data!$Q$2:$Q$73,MATCH($G131,Weather_Data!$J$2:$J$73,0))</f>
        <v>320</v>
      </c>
      <c r="M131" s="3" t="str">
        <f aca="false">INDEX(Shelter_Design!$I$2:$I$41,MATCH($B131,Shelter_Design!$A$2:$A$41,0))</f>
        <v>M02</v>
      </c>
      <c r="N131" s="3" t="n">
        <f aca="false">IFERROR(INDEX(Material_Properties!$D$2:$D$21,MATCH(M131,Material_Properties!$A$2:$A$21,0)),1)</f>
        <v>0.7</v>
      </c>
      <c r="O131" s="3" t="n">
        <f aca="false">INDEX(Shelter_Design!$M$2:$M$41,MATCH($B131,Shelter_Design!$A$2:$A$41,0))</f>
        <v>150</v>
      </c>
      <c r="P131" s="3" t="str">
        <f aca="false">INDEX(Shelter_Design!$L$2:$L$41,MATCH($B131,Shelter_Design!$A$2:$A$41,0))</f>
        <v>None</v>
      </c>
      <c r="Q131" s="3" t="n">
        <f aca="false">IF(P131="None",0,IFERROR(INDEX(Material_Properties!$D$2:$D$21,MATCH(P131,Material_Properties!$A$2:$A$21,0)),0))</f>
        <v>0</v>
      </c>
      <c r="R131" s="3" t="n">
        <f aca="false">INDEX(Shelter_Design!$O$2:$O$41,MATCH($B131,Shelter_Design!$A$2:$A$41,0))</f>
        <v>0</v>
      </c>
      <c r="S131" s="3" t="n">
        <f aca="false">(O131/1000)/N131</f>
        <v>0.214285714285714</v>
      </c>
      <c r="T131" s="3" t="n">
        <f aca="false">IF(OR(P131="None",Q131=0),0,(R131/1000)/Q131)</f>
        <v>0</v>
      </c>
      <c r="U131" s="3" t="n">
        <v>0.17</v>
      </c>
      <c r="V131" s="3" t="n">
        <f aca="false">S131+T131+U131</f>
        <v>0.384285714285714</v>
      </c>
      <c r="W131" s="3" t="n">
        <f aca="false">1/V131</f>
        <v>2.60223048327138</v>
      </c>
      <c r="X131" s="3" t="n">
        <f aca="false">INDEX(Shelter_Design!$R$2:$R$41,MATCH($B131,Shelter_Design!$A$2:$A$41,0))</f>
        <v>51.5</v>
      </c>
      <c r="Y131" s="3" t="n">
        <f aca="false">INDEX(Shelter_Design!$P$2:$P$41,MATCH($B131,Shelter_Design!$A$2:$A$41,0))</f>
        <v>2.5</v>
      </c>
      <c r="Z131" s="3" t="n">
        <f aca="false">INDEX(Shelter_Design!$G$2:$G$41,MATCH($B131,Shelter_Design!$A$2:$A$41,0))</f>
        <v>60</v>
      </c>
      <c r="AA131" s="3" t="n">
        <f aca="false">INDEX(Shelter_Design!$S$2:$S$41,MATCH($B131,Shelter_Design!$A$2:$A$41,0))</f>
        <v>0.0462962962962963</v>
      </c>
      <c r="AB131" s="3" t="n">
        <f aca="false">INDEX(Shelter_Design!$Y$2:$Y$41,MATCH($B131,Shelter_Design!$A$2:$A$41,0))</f>
        <v>5</v>
      </c>
      <c r="AC131" s="3" t="str">
        <f aca="false">INDEX(Shelter_Design!$Z$2:$Z$41,MATCH($B131,Shelter_Design!$A$2:$A$41,0))</f>
        <v>Light</v>
      </c>
      <c r="AD131" s="3" t="n">
        <f aca="false">INDEX(Shelter_Design!$AA$2:$AA$41,MATCH($B131,Shelter_Design!$A$2:$A$41,0))</f>
        <v>0.5</v>
      </c>
      <c r="AE131" s="3" t="s">
        <v>304</v>
      </c>
    </row>
    <row r="132" customFormat="false" ht="15" hidden="false" customHeight="true" outlineLevel="0" collapsed="false">
      <c r="A132" s="3" t="s">
        <v>434</v>
      </c>
      <c r="B132" s="3" t="s">
        <v>258</v>
      </c>
      <c r="C132" s="3" t="s">
        <v>252</v>
      </c>
      <c r="D132" s="3" t="s">
        <v>303</v>
      </c>
      <c r="E132" s="3" t="s">
        <v>67</v>
      </c>
      <c r="F132" s="3" t="s">
        <v>22</v>
      </c>
      <c r="G132" s="3" t="str">
        <f aca="false">E132&amp;"-"&amp;F132</f>
        <v>Chennai-January</v>
      </c>
      <c r="H132" s="3" t="n">
        <f aca="false">INDEX(Weather_Data!$K$2:$K$73,MATCH($G132,Weather_Data!$J$2:$J$73,0))</f>
        <v>25</v>
      </c>
      <c r="I132" s="3" t="n">
        <f aca="false">INDEX(Weather_Data!$L$2:$L$73,MATCH($G132,Weather_Data!$J$2:$J$73,0))</f>
        <v>72</v>
      </c>
      <c r="J132" s="3" t="n">
        <f aca="false">INDEX(Weather_Data!$M$2:$M$73,MATCH($G132,Weather_Data!$J$2:$J$73,0))</f>
        <v>3</v>
      </c>
      <c r="K132" s="3" t="n">
        <f aca="false">INDEX(Weather_Data!$P$2:$P$73,MATCH($G132,Weather_Data!$J$2:$J$73,0))</f>
        <v>187.5</v>
      </c>
      <c r="L132" s="3" t="n">
        <f aca="false">INDEX(Weather_Data!$Q$2:$Q$73,MATCH($G132,Weather_Data!$J$2:$J$73,0))</f>
        <v>25</v>
      </c>
      <c r="M132" s="3" t="str">
        <f aca="false">INDEX(Shelter_Design!$I$2:$I$41,MATCH($B132,Shelter_Design!$A$2:$A$41,0))</f>
        <v>M02</v>
      </c>
      <c r="N132" s="3" t="n">
        <f aca="false">IFERROR(INDEX(Material_Properties!$D$2:$D$21,MATCH(M132,Material_Properties!$A$2:$A$21,0)),1)</f>
        <v>0.7</v>
      </c>
      <c r="O132" s="3" t="n">
        <f aca="false">INDEX(Shelter_Design!$M$2:$M$41,MATCH($B132,Shelter_Design!$A$2:$A$41,0))</f>
        <v>150</v>
      </c>
      <c r="P132" s="3" t="str">
        <f aca="false">INDEX(Shelter_Design!$L$2:$L$41,MATCH($B132,Shelter_Design!$A$2:$A$41,0))</f>
        <v>None</v>
      </c>
      <c r="Q132" s="3" t="n">
        <f aca="false">IF(P132="None",0,IFERROR(INDEX(Material_Properties!$D$2:$D$21,MATCH(P132,Material_Properties!$A$2:$A$21,0)),0))</f>
        <v>0</v>
      </c>
      <c r="R132" s="3" t="n">
        <f aca="false">INDEX(Shelter_Design!$O$2:$O$41,MATCH($B132,Shelter_Design!$A$2:$A$41,0))</f>
        <v>0</v>
      </c>
      <c r="S132" s="3" t="n">
        <f aca="false">(O132/1000)/N132</f>
        <v>0.214285714285714</v>
      </c>
      <c r="T132" s="3" t="n">
        <f aca="false">IF(OR(P132="None",Q132=0),0,(R132/1000)/Q132)</f>
        <v>0</v>
      </c>
      <c r="U132" s="3" t="n">
        <v>0.17</v>
      </c>
      <c r="V132" s="3" t="n">
        <f aca="false">S132+T132+U132</f>
        <v>0.384285714285714</v>
      </c>
      <c r="W132" s="3" t="n">
        <f aca="false">1/V132</f>
        <v>2.60223048327138</v>
      </c>
      <c r="X132" s="3" t="n">
        <f aca="false">INDEX(Shelter_Design!$R$2:$R$41,MATCH($B132,Shelter_Design!$A$2:$A$41,0))</f>
        <v>33.95</v>
      </c>
      <c r="Y132" s="3" t="n">
        <f aca="false">INDEX(Shelter_Design!$P$2:$P$41,MATCH($B132,Shelter_Design!$A$2:$A$41,0))</f>
        <v>2.45</v>
      </c>
      <c r="Z132" s="3" t="n">
        <f aca="false">INDEX(Shelter_Design!$G$2:$G$41,MATCH($B132,Shelter_Design!$A$2:$A$41,0))</f>
        <v>29.4</v>
      </c>
      <c r="AA132" s="3" t="n">
        <f aca="false">INDEX(Shelter_Design!$S$2:$S$41,MATCH($B132,Shelter_Design!$A$2:$A$41,0))</f>
        <v>0.0673076923076923</v>
      </c>
      <c r="AB132" s="3" t="n">
        <f aca="false">INDEX(Shelter_Design!$Y$2:$Y$41,MATCH($B132,Shelter_Design!$A$2:$A$41,0))</f>
        <v>2</v>
      </c>
      <c r="AC132" s="3" t="str">
        <f aca="false">INDEX(Shelter_Design!$Z$2:$Z$41,MATCH($B132,Shelter_Design!$A$2:$A$41,0))</f>
        <v>Light</v>
      </c>
      <c r="AD132" s="3" t="n">
        <f aca="false">INDEX(Shelter_Design!$AA$2:$AA$41,MATCH($B132,Shelter_Design!$A$2:$A$41,0))</f>
        <v>0.5</v>
      </c>
      <c r="AE132" s="3" t="s">
        <v>304</v>
      </c>
    </row>
    <row r="133" customFormat="false" ht="15" hidden="false" customHeight="true" outlineLevel="0" collapsed="false">
      <c r="A133" s="3" t="s">
        <v>435</v>
      </c>
      <c r="B133" s="3" t="s">
        <v>258</v>
      </c>
      <c r="C133" s="3" t="s">
        <v>252</v>
      </c>
      <c r="D133" s="3" t="s">
        <v>303</v>
      </c>
      <c r="E133" s="3" t="s">
        <v>67</v>
      </c>
      <c r="F133" s="3" t="s">
        <v>33</v>
      </c>
      <c r="G133" s="3" t="str">
        <f aca="false">E133&amp;"-"&amp;F133</f>
        <v>Chennai-April</v>
      </c>
      <c r="H133" s="3" t="n">
        <f aca="false">INDEX(Weather_Data!$K$2:$K$73,MATCH($G133,Weather_Data!$J$2:$J$73,0))</f>
        <v>32</v>
      </c>
      <c r="I133" s="3" t="n">
        <f aca="false">INDEX(Weather_Data!$L$2:$L$73,MATCH($G133,Weather_Data!$J$2:$J$73,0))</f>
        <v>65</v>
      </c>
      <c r="J133" s="3" t="n">
        <f aca="false">INDEX(Weather_Data!$M$2:$M$73,MATCH($G133,Weather_Data!$J$2:$J$73,0))</f>
        <v>4</v>
      </c>
      <c r="K133" s="3" t="n">
        <f aca="false">INDEX(Weather_Data!$P$2:$P$73,MATCH($G133,Weather_Data!$J$2:$J$73,0))</f>
        <v>262.5</v>
      </c>
      <c r="L133" s="3" t="n">
        <f aca="false">INDEX(Weather_Data!$Q$2:$Q$73,MATCH($G133,Weather_Data!$J$2:$J$73,0))</f>
        <v>15</v>
      </c>
      <c r="M133" s="3" t="str">
        <f aca="false">INDEX(Shelter_Design!$I$2:$I$41,MATCH($B133,Shelter_Design!$A$2:$A$41,0))</f>
        <v>M02</v>
      </c>
      <c r="N133" s="3" t="n">
        <f aca="false">IFERROR(INDEX(Material_Properties!$D$2:$D$21,MATCH(M133,Material_Properties!$A$2:$A$21,0)),1)</f>
        <v>0.7</v>
      </c>
      <c r="O133" s="3" t="n">
        <f aca="false">INDEX(Shelter_Design!$M$2:$M$41,MATCH($B133,Shelter_Design!$A$2:$A$41,0))</f>
        <v>150</v>
      </c>
      <c r="P133" s="3" t="str">
        <f aca="false">INDEX(Shelter_Design!$L$2:$L$41,MATCH($B133,Shelter_Design!$A$2:$A$41,0))</f>
        <v>None</v>
      </c>
      <c r="Q133" s="3" t="n">
        <f aca="false">IF(P133="None",0,IFERROR(INDEX(Material_Properties!$D$2:$D$21,MATCH(P133,Material_Properties!$A$2:$A$21,0)),0))</f>
        <v>0</v>
      </c>
      <c r="R133" s="3" t="n">
        <f aca="false">INDEX(Shelter_Design!$O$2:$O$41,MATCH($B133,Shelter_Design!$A$2:$A$41,0))</f>
        <v>0</v>
      </c>
      <c r="S133" s="3" t="n">
        <f aca="false">(O133/1000)/N133</f>
        <v>0.214285714285714</v>
      </c>
      <c r="T133" s="3" t="n">
        <f aca="false">IF(OR(P133="None",Q133=0),0,(R133/1000)/Q133)</f>
        <v>0</v>
      </c>
      <c r="U133" s="3" t="n">
        <v>0.17</v>
      </c>
      <c r="V133" s="3" t="n">
        <f aca="false">S133+T133+U133</f>
        <v>0.384285714285714</v>
      </c>
      <c r="W133" s="3" t="n">
        <f aca="false">1/V133</f>
        <v>2.60223048327138</v>
      </c>
      <c r="X133" s="3" t="n">
        <f aca="false">INDEX(Shelter_Design!$R$2:$R$41,MATCH($B133,Shelter_Design!$A$2:$A$41,0))</f>
        <v>33.95</v>
      </c>
      <c r="Y133" s="3" t="n">
        <f aca="false">INDEX(Shelter_Design!$P$2:$P$41,MATCH($B133,Shelter_Design!$A$2:$A$41,0))</f>
        <v>2.45</v>
      </c>
      <c r="Z133" s="3" t="n">
        <f aca="false">INDEX(Shelter_Design!$G$2:$G$41,MATCH($B133,Shelter_Design!$A$2:$A$41,0))</f>
        <v>29.4</v>
      </c>
      <c r="AA133" s="3" t="n">
        <f aca="false">INDEX(Shelter_Design!$S$2:$S$41,MATCH($B133,Shelter_Design!$A$2:$A$41,0))</f>
        <v>0.0673076923076923</v>
      </c>
      <c r="AB133" s="3" t="n">
        <f aca="false">INDEX(Shelter_Design!$Y$2:$Y$41,MATCH($B133,Shelter_Design!$A$2:$A$41,0))</f>
        <v>2</v>
      </c>
      <c r="AC133" s="3" t="str">
        <f aca="false">INDEX(Shelter_Design!$Z$2:$Z$41,MATCH($B133,Shelter_Design!$A$2:$A$41,0))</f>
        <v>Light</v>
      </c>
      <c r="AD133" s="3" t="n">
        <f aca="false">INDEX(Shelter_Design!$AA$2:$AA$41,MATCH($B133,Shelter_Design!$A$2:$A$41,0))</f>
        <v>0.5</v>
      </c>
      <c r="AE133" s="3" t="s">
        <v>304</v>
      </c>
    </row>
    <row r="134" customFormat="false" ht="15" hidden="false" customHeight="true" outlineLevel="0" collapsed="false">
      <c r="A134" s="3" t="s">
        <v>436</v>
      </c>
      <c r="B134" s="3" t="s">
        <v>258</v>
      </c>
      <c r="C134" s="3" t="s">
        <v>252</v>
      </c>
      <c r="D134" s="3" t="s">
        <v>303</v>
      </c>
      <c r="E134" s="3" t="s">
        <v>67</v>
      </c>
      <c r="F134" s="3" t="s">
        <v>42</v>
      </c>
      <c r="G134" s="3" t="str">
        <f aca="false">E134&amp;"-"&amp;F134</f>
        <v>Chennai-July</v>
      </c>
      <c r="H134" s="3" t="n">
        <f aca="false">INDEX(Weather_Data!$K$2:$K$73,MATCH($G134,Weather_Data!$J$2:$J$73,0))</f>
        <v>31</v>
      </c>
      <c r="I134" s="3" t="n">
        <f aca="false">INDEX(Weather_Data!$L$2:$L$73,MATCH($G134,Weather_Data!$J$2:$J$73,0))</f>
        <v>65</v>
      </c>
      <c r="J134" s="3" t="n">
        <f aca="false">INDEX(Weather_Data!$M$2:$M$73,MATCH($G134,Weather_Data!$J$2:$J$73,0))</f>
        <v>3.5</v>
      </c>
      <c r="K134" s="3" t="n">
        <f aca="false">INDEX(Weather_Data!$P$2:$P$73,MATCH($G134,Weather_Data!$J$2:$J$73,0))</f>
        <v>216.666666666667</v>
      </c>
      <c r="L134" s="3" t="n">
        <f aca="false">INDEX(Weather_Data!$Q$2:$Q$73,MATCH($G134,Weather_Data!$J$2:$J$73,0))</f>
        <v>90</v>
      </c>
      <c r="M134" s="3" t="str">
        <f aca="false">INDEX(Shelter_Design!$I$2:$I$41,MATCH($B134,Shelter_Design!$A$2:$A$41,0))</f>
        <v>M02</v>
      </c>
      <c r="N134" s="3" t="n">
        <f aca="false">IFERROR(INDEX(Material_Properties!$D$2:$D$21,MATCH(M134,Material_Properties!$A$2:$A$21,0)),1)</f>
        <v>0.7</v>
      </c>
      <c r="O134" s="3" t="n">
        <f aca="false">INDEX(Shelter_Design!$M$2:$M$41,MATCH($B134,Shelter_Design!$A$2:$A$41,0))</f>
        <v>150</v>
      </c>
      <c r="P134" s="3" t="str">
        <f aca="false">INDEX(Shelter_Design!$L$2:$L$41,MATCH($B134,Shelter_Design!$A$2:$A$41,0))</f>
        <v>None</v>
      </c>
      <c r="Q134" s="3" t="n">
        <f aca="false">IF(P134="None",0,IFERROR(INDEX(Material_Properties!$D$2:$D$21,MATCH(P134,Material_Properties!$A$2:$A$21,0)),0))</f>
        <v>0</v>
      </c>
      <c r="R134" s="3" t="n">
        <f aca="false">INDEX(Shelter_Design!$O$2:$O$41,MATCH($B134,Shelter_Design!$A$2:$A$41,0))</f>
        <v>0</v>
      </c>
      <c r="S134" s="3" t="n">
        <f aca="false">(O134/1000)/N134</f>
        <v>0.214285714285714</v>
      </c>
      <c r="T134" s="3" t="n">
        <f aca="false">IF(OR(P134="None",Q134=0),0,(R134/1000)/Q134)</f>
        <v>0</v>
      </c>
      <c r="U134" s="3" t="n">
        <v>0.17</v>
      </c>
      <c r="V134" s="3" t="n">
        <f aca="false">S134+T134+U134</f>
        <v>0.384285714285714</v>
      </c>
      <c r="W134" s="3" t="n">
        <f aca="false">1/V134</f>
        <v>2.60223048327138</v>
      </c>
      <c r="X134" s="3" t="n">
        <f aca="false">INDEX(Shelter_Design!$R$2:$R$41,MATCH($B134,Shelter_Design!$A$2:$A$41,0))</f>
        <v>33.95</v>
      </c>
      <c r="Y134" s="3" t="n">
        <f aca="false">INDEX(Shelter_Design!$P$2:$P$41,MATCH($B134,Shelter_Design!$A$2:$A$41,0))</f>
        <v>2.45</v>
      </c>
      <c r="Z134" s="3" t="n">
        <f aca="false">INDEX(Shelter_Design!$G$2:$G$41,MATCH($B134,Shelter_Design!$A$2:$A$41,0))</f>
        <v>29.4</v>
      </c>
      <c r="AA134" s="3" t="n">
        <f aca="false">INDEX(Shelter_Design!$S$2:$S$41,MATCH($B134,Shelter_Design!$A$2:$A$41,0))</f>
        <v>0.0673076923076923</v>
      </c>
      <c r="AB134" s="3" t="n">
        <f aca="false">INDEX(Shelter_Design!$Y$2:$Y$41,MATCH($B134,Shelter_Design!$A$2:$A$41,0))</f>
        <v>2</v>
      </c>
      <c r="AC134" s="3" t="str">
        <f aca="false">INDEX(Shelter_Design!$Z$2:$Z$41,MATCH($B134,Shelter_Design!$A$2:$A$41,0))</f>
        <v>Light</v>
      </c>
      <c r="AD134" s="3" t="n">
        <f aca="false">INDEX(Shelter_Design!$AA$2:$AA$41,MATCH($B134,Shelter_Design!$A$2:$A$41,0))</f>
        <v>0.5</v>
      </c>
      <c r="AE134" s="3" t="s">
        <v>304</v>
      </c>
    </row>
    <row r="135" customFormat="false" ht="15" hidden="false" customHeight="true" outlineLevel="0" collapsed="false">
      <c r="A135" s="3" t="s">
        <v>437</v>
      </c>
      <c r="B135" s="3" t="s">
        <v>258</v>
      </c>
      <c r="C135" s="3" t="s">
        <v>252</v>
      </c>
      <c r="D135" s="3" t="s">
        <v>303</v>
      </c>
      <c r="E135" s="3" t="s">
        <v>67</v>
      </c>
      <c r="F135" s="3" t="s">
        <v>46</v>
      </c>
      <c r="G135" s="3" t="str">
        <f aca="false">E135&amp;"-"&amp;F135</f>
        <v>Chennai-September</v>
      </c>
      <c r="H135" s="3" t="n">
        <f aca="false">INDEX(Weather_Data!$K$2:$K$73,MATCH($G135,Weather_Data!$J$2:$J$73,0))</f>
        <v>30</v>
      </c>
      <c r="I135" s="3" t="n">
        <f aca="false">INDEX(Weather_Data!$L$2:$L$73,MATCH($G135,Weather_Data!$J$2:$J$73,0))</f>
        <v>72</v>
      </c>
      <c r="J135" s="3" t="n">
        <f aca="false">INDEX(Weather_Data!$M$2:$M$73,MATCH($G135,Weather_Data!$J$2:$J$73,0))</f>
        <v>3.5</v>
      </c>
      <c r="K135" s="3" t="n">
        <f aca="false">INDEX(Weather_Data!$P$2:$P$73,MATCH($G135,Weather_Data!$J$2:$J$73,0))</f>
        <v>216.666666666667</v>
      </c>
      <c r="L135" s="3" t="n">
        <f aca="false">INDEX(Weather_Data!$Q$2:$Q$73,MATCH($G135,Weather_Data!$J$2:$J$73,0))</f>
        <v>120</v>
      </c>
      <c r="M135" s="3" t="str">
        <f aca="false">INDEX(Shelter_Design!$I$2:$I$41,MATCH($B135,Shelter_Design!$A$2:$A$41,0))</f>
        <v>M02</v>
      </c>
      <c r="N135" s="3" t="n">
        <f aca="false">IFERROR(INDEX(Material_Properties!$D$2:$D$21,MATCH(M135,Material_Properties!$A$2:$A$21,0)),1)</f>
        <v>0.7</v>
      </c>
      <c r="O135" s="3" t="n">
        <f aca="false">INDEX(Shelter_Design!$M$2:$M$41,MATCH($B135,Shelter_Design!$A$2:$A$41,0))</f>
        <v>150</v>
      </c>
      <c r="P135" s="3" t="str">
        <f aca="false">INDEX(Shelter_Design!$L$2:$L$41,MATCH($B135,Shelter_Design!$A$2:$A$41,0))</f>
        <v>None</v>
      </c>
      <c r="Q135" s="3" t="n">
        <f aca="false">IF(P135="None",0,IFERROR(INDEX(Material_Properties!$D$2:$D$21,MATCH(P135,Material_Properties!$A$2:$A$21,0)),0))</f>
        <v>0</v>
      </c>
      <c r="R135" s="3" t="n">
        <f aca="false">INDEX(Shelter_Design!$O$2:$O$41,MATCH($B135,Shelter_Design!$A$2:$A$41,0))</f>
        <v>0</v>
      </c>
      <c r="S135" s="3" t="n">
        <f aca="false">(O135/1000)/N135</f>
        <v>0.214285714285714</v>
      </c>
      <c r="T135" s="3" t="n">
        <f aca="false">IF(OR(P135="None",Q135=0),0,(R135/1000)/Q135)</f>
        <v>0</v>
      </c>
      <c r="U135" s="3" t="n">
        <v>0.17</v>
      </c>
      <c r="V135" s="3" t="n">
        <f aca="false">S135+T135+U135</f>
        <v>0.384285714285714</v>
      </c>
      <c r="W135" s="3" t="n">
        <f aca="false">1/V135</f>
        <v>2.60223048327138</v>
      </c>
      <c r="X135" s="3" t="n">
        <f aca="false">INDEX(Shelter_Design!$R$2:$R$41,MATCH($B135,Shelter_Design!$A$2:$A$41,0))</f>
        <v>33.95</v>
      </c>
      <c r="Y135" s="3" t="n">
        <f aca="false">INDEX(Shelter_Design!$P$2:$P$41,MATCH($B135,Shelter_Design!$A$2:$A$41,0))</f>
        <v>2.45</v>
      </c>
      <c r="Z135" s="3" t="n">
        <f aca="false">INDEX(Shelter_Design!$G$2:$G$41,MATCH($B135,Shelter_Design!$A$2:$A$41,0))</f>
        <v>29.4</v>
      </c>
      <c r="AA135" s="3" t="n">
        <f aca="false">INDEX(Shelter_Design!$S$2:$S$41,MATCH($B135,Shelter_Design!$A$2:$A$41,0))</f>
        <v>0.0673076923076923</v>
      </c>
      <c r="AB135" s="3" t="n">
        <f aca="false">INDEX(Shelter_Design!$Y$2:$Y$41,MATCH($B135,Shelter_Design!$A$2:$A$41,0))</f>
        <v>2</v>
      </c>
      <c r="AC135" s="3" t="str">
        <f aca="false">INDEX(Shelter_Design!$Z$2:$Z$41,MATCH($B135,Shelter_Design!$A$2:$A$41,0))</f>
        <v>Light</v>
      </c>
      <c r="AD135" s="3" t="n">
        <f aca="false">INDEX(Shelter_Design!$AA$2:$AA$41,MATCH($B135,Shelter_Design!$A$2:$A$41,0))</f>
        <v>0.5</v>
      </c>
      <c r="AE135" s="3" t="s">
        <v>304</v>
      </c>
    </row>
    <row r="136" customFormat="false" ht="15" hidden="false" customHeight="true" outlineLevel="0" collapsed="false">
      <c r="A136" s="3" t="s">
        <v>438</v>
      </c>
      <c r="B136" s="3" t="s">
        <v>258</v>
      </c>
      <c r="C136" s="3" t="s">
        <v>252</v>
      </c>
      <c r="D136" s="3" t="s">
        <v>303</v>
      </c>
      <c r="E136" s="3" t="s">
        <v>67</v>
      </c>
      <c r="F136" s="3" t="s">
        <v>51</v>
      </c>
      <c r="G136" s="3" t="str">
        <f aca="false">E136&amp;"-"&amp;F136</f>
        <v>Chennai-November</v>
      </c>
      <c r="H136" s="3" t="n">
        <f aca="false">INDEX(Weather_Data!$K$2:$K$73,MATCH($G136,Weather_Data!$J$2:$J$73,0))</f>
        <v>26</v>
      </c>
      <c r="I136" s="3" t="n">
        <f aca="false">INDEX(Weather_Data!$L$2:$L$73,MATCH($G136,Weather_Data!$J$2:$J$73,0))</f>
        <v>80</v>
      </c>
      <c r="J136" s="3" t="n">
        <f aca="false">INDEX(Weather_Data!$M$2:$M$73,MATCH($G136,Weather_Data!$J$2:$J$73,0))</f>
        <v>5</v>
      </c>
      <c r="K136" s="3" t="n">
        <f aca="false">INDEX(Weather_Data!$P$2:$P$73,MATCH($G136,Weather_Data!$J$2:$J$73,0))</f>
        <v>158.333333333333</v>
      </c>
      <c r="L136" s="3" t="n">
        <f aca="false">INDEX(Weather_Data!$Q$2:$Q$73,MATCH($G136,Weather_Data!$J$2:$J$73,0))</f>
        <v>320</v>
      </c>
      <c r="M136" s="3" t="str">
        <f aca="false">INDEX(Shelter_Design!$I$2:$I$41,MATCH($B136,Shelter_Design!$A$2:$A$41,0))</f>
        <v>M02</v>
      </c>
      <c r="N136" s="3" t="n">
        <f aca="false">IFERROR(INDEX(Material_Properties!$D$2:$D$21,MATCH(M136,Material_Properties!$A$2:$A$21,0)),1)</f>
        <v>0.7</v>
      </c>
      <c r="O136" s="3" t="n">
        <f aca="false">INDEX(Shelter_Design!$M$2:$M$41,MATCH($B136,Shelter_Design!$A$2:$A$41,0))</f>
        <v>150</v>
      </c>
      <c r="P136" s="3" t="str">
        <f aca="false">INDEX(Shelter_Design!$L$2:$L$41,MATCH($B136,Shelter_Design!$A$2:$A$41,0))</f>
        <v>None</v>
      </c>
      <c r="Q136" s="3" t="n">
        <f aca="false">IF(P136="None",0,IFERROR(INDEX(Material_Properties!$D$2:$D$21,MATCH(P136,Material_Properties!$A$2:$A$21,0)),0))</f>
        <v>0</v>
      </c>
      <c r="R136" s="3" t="n">
        <f aca="false">INDEX(Shelter_Design!$O$2:$O$41,MATCH($B136,Shelter_Design!$A$2:$A$41,0))</f>
        <v>0</v>
      </c>
      <c r="S136" s="3" t="n">
        <f aca="false">(O136/1000)/N136</f>
        <v>0.214285714285714</v>
      </c>
      <c r="T136" s="3" t="n">
        <f aca="false">IF(OR(P136="None",Q136=0),0,(R136/1000)/Q136)</f>
        <v>0</v>
      </c>
      <c r="U136" s="3" t="n">
        <v>0.17</v>
      </c>
      <c r="V136" s="3" t="n">
        <f aca="false">S136+T136+U136</f>
        <v>0.384285714285714</v>
      </c>
      <c r="W136" s="3" t="n">
        <f aca="false">1/V136</f>
        <v>2.60223048327138</v>
      </c>
      <c r="X136" s="3" t="n">
        <f aca="false">INDEX(Shelter_Design!$R$2:$R$41,MATCH($B136,Shelter_Design!$A$2:$A$41,0))</f>
        <v>33.95</v>
      </c>
      <c r="Y136" s="3" t="n">
        <f aca="false">INDEX(Shelter_Design!$P$2:$P$41,MATCH($B136,Shelter_Design!$A$2:$A$41,0))</f>
        <v>2.45</v>
      </c>
      <c r="Z136" s="3" t="n">
        <f aca="false">INDEX(Shelter_Design!$G$2:$G$41,MATCH($B136,Shelter_Design!$A$2:$A$41,0))</f>
        <v>29.4</v>
      </c>
      <c r="AA136" s="3" t="n">
        <f aca="false">INDEX(Shelter_Design!$S$2:$S$41,MATCH($B136,Shelter_Design!$A$2:$A$41,0))</f>
        <v>0.0673076923076923</v>
      </c>
      <c r="AB136" s="3" t="n">
        <f aca="false">INDEX(Shelter_Design!$Y$2:$Y$41,MATCH($B136,Shelter_Design!$A$2:$A$41,0))</f>
        <v>2</v>
      </c>
      <c r="AC136" s="3" t="str">
        <f aca="false">INDEX(Shelter_Design!$Z$2:$Z$41,MATCH($B136,Shelter_Design!$A$2:$A$41,0))</f>
        <v>Light</v>
      </c>
      <c r="AD136" s="3" t="n">
        <f aca="false">INDEX(Shelter_Design!$AA$2:$AA$41,MATCH($B136,Shelter_Design!$A$2:$A$41,0))</f>
        <v>0.5</v>
      </c>
      <c r="AE136" s="3" t="s">
        <v>304</v>
      </c>
    </row>
    <row r="137" customFormat="false" ht="15" hidden="false" customHeight="true" outlineLevel="0" collapsed="false">
      <c r="A137" s="3" t="s">
        <v>439</v>
      </c>
      <c r="B137" s="3" t="s">
        <v>260</v>
      </c>
      <c r="C137" s="3" t="s">
        <v>252</v>
      </c>
      <c r="D137" s="3" t="s">
        <v>303</v>
      </c>
      <c r="E137" s="3" t="s">
        <v>67</v>
      </c>
      <c r="F137" s="3" t="s">
        <v>22</v>
      </c>
      <c r="G137" s="3" t="str">
        <f aca="false">E137&amp;"-"&amp;F137</f>
        <v>Chennai-January</v>
      </c>
      <c r="H137" s="3" t="n">
        <f aca="false">INDEX(Weather_Data!$K$2:$K$73,MATCH($G137,Weather_Data!$J$2:$J$73,0))</f>
        <v>25</v>
      </c>
      <c r="I137" s="3" t="n">
        <f aca="false">INDEX(Weather_Data!$L$2:$L$73,MATCH($G137,Weather_Data!$J$2:$J$73,0))</f>
        <v>72</v>
      </c>
      <c r="J137" s="3" t="n">
        <f aca="false">INDEX(Weather_Data!$M$2:$M$73,MATCH($G137,Weather_Data!$J$2:$J$73,0))</f>
        <v>3</v>
      </c>
      <c r="K137" s="3" t="n">
        <f aca="false">INDEX(Weather_Data!$P$2:$P$73,MATCH($G137,Weather_Data!$J$2:$J$73,0))</f>
        <v>187.5</v>
      </c>
      <c r="L137" s="3" t="n">
        <f aca="false">INDEX(Weather_Data!$Q$2:$Q$73,MATCH($G137,Weather_Data!$J$2:$J$73,0))</f>
        <v>25</v>
      </c>
      <c r="M137" s="3" t="str">
        <f aca="false">INDEX(Shelter_Design!$I$2:$I$41,MATCH($B137,Shelter_Design!$A$2:$A$41,0))</f>
        <v>M02</v>
      </c>
      <c r="N137" s="3" t="n">
        <f aca="false">IFERROR(INDEX(Material_Properties!$D$2:$D$21,MATCH(M137,Material_Properties!$A$2:$A$21,0)),1)</f>
        <v>0.7</v>
      </c>
      <c r="O137" s="3" t="n">
        <f aca="false">INDEX(Shelter_Design!$M$2:$M$41,MATCH($B137,Shelter_Design!$A$2:$A$41,0))</f>
        <v>150</v>
      </c>
      <c r="P137" s="3" t="str">
        <f aca="false">INDEX(Shelter_Design!$L$2:$L$41,MATCH($B137,Shelter_Design!$A$2:$A$41,0))</f>
        <v>None</v>
      </c>
      <c r="Q137" s="3" t="n">
        <f aca="false">IF(P137="None",0,IFERROR(INDEX(Material_Properties!$D$2:$D$21,MATCH(P137,Material_Properties!$A$2:$A$21,0)),0))</f>
        <v>0</v>
      </c>
      <c r="R137" s="3" t="n">
        <f aca="false">INDEX(Shelter_Design!$O$2:$O$41,MATCH($B137,Shelter_Design!$A$2:$A$41,0))</f>
        <v>0</v>
      </c>
      <c r="S137" s="3" t="n">
        <f aca="false">(O137/1000)/N137</f>
        <v>0.214285714285714</v>
      </c>
      <c r="T137" s="3" t="n">
        <f aca="false">IF(OR(P137="None",Q137=0),0,(R137/1000)/Q137)</f>
        <v>0</v>
      </c>
      <c r="U137" s="3" t="n">
        <v>0.17</v>
      </c>
      <c r="V137" s="3" t="n">
        <f aca="false">S137+T137+U137</f>
        <v>0.384285714285714</v>
      </c>
      <c r="W137" s="3" t="n">
        <f aca="false">1/V137</f>
        <v>2.60223048327138</v>
      </c>
      <c r="X137" s="3" t="n">
        <f aca="false">INDEX(Shelter_Design!$R$2:$R$41,MATCH($B137,Shelter_Design!$A$2:$A$41,0))</f>
        <v>50.5</v>
      </c>
      <c r="Y137" s="3" t="n">
        <f aca="false">INDEX(Shelter_Design!$P$2:$P$41,MATCH($B137,Shelter_Design!$A$2:$A$41,0))</f>
        <v>3.5</v>
      </c>
      <c r="Z137" s="3" t="n">
        <f aca="false">INDEX(Shelter_Design!$G$2:$G$41,MATCH($B137,Shelter_Design!$A$2:$A$41,0))</f>
        <v>60</v>
      </c>
      <c r="AA137" s="3" t="n">
        <f aca="false">INDEX(Shelter_Design!$S$2:$S$41,MATCH($B137,Shelter_Design!$A$2:$A$41,0))</f>
        <v>0.0648148148148148</v>
      </c>
      <c r="AB137" s="3" t="n">
        <f aca="false">INDEX(Shelter_Design!$Y$2:$Y$41,MATCH($B137,Shelter_Design!$A$2:$A$41,0))</f>
        <v>5</v>
      </c>
      <c r="AC137" s="3" t="str">
        <f aca="false">INDEX(Shelter_Design!$Z$2:$Z$41,MATCH($B137,Shelter_Design!$A$2:$A$41,0))</f>
        <v>Light</v>
      </c>
      <c r="AD137" s="3" t="n">
        <f aca="false">INDEX(Shelter_Design!$AA$2:$AA$41,MATCH($B137,Shelter_Design!$A$2:$A$41,0))</f>
        <v>0.5</v>
      </c>
      <c r="AE137" s="3" t="s">
        <v>304</v>
      </c>
    </row>
    <row r="138" customFormat="false" ht="15" hidden="false" customHeight="true" outlineLevel="0" collapsed="false">
      <c r="A138" s="3" t="s">
        <v>440</v>
      </c>
      <c r="B138" s="3" t="s">
        <v>260</v>
      </c>
      <c r="C138" s="3" t="s">
        <v>252</v>
      </c>
      <c r="D138" s="3" t="s">
        <v>303</v>
      </c>
      <c r="E138" s="3" t="s">
        <v>67</v>
      </c>
      <c r="F138" s="3" t="s">
        <v>33</v>
      </c>
      <c r="G138" s="3" t="str">
        <f aca="false">E138&amp;"-"&amp;F138</f>
        <v>Chennai-April</v>
      </c>
      <c r="H138" s="3" t="n">
        <f aca="false">INDEX(Weather_Data!$K$2:$K$73,MATCH($G138,Weather_Data!$J$2:$J$73,0))</f>
        <v>32</v>
      </c>
      <c r="I138" s="3" t="n">
        <f aca="false">INDEX(Weather_Data!$L$2:$L$73,MATCH($G138,Weather_Data!$J$2:$J$73,0))</f>
        <v>65</v>
      </c>
      <c r="J138" s="3" t="n">
        <f aca="false">INDEX(Weather_Data!$M$2:$M$73,MATCH($G138,Weather_Data!$J$2:$J$73,0))</f>
        <v>4</v>
      </c>
      <c r="K138" s="3" t="n">
        <f aca="false">INDEX(Weather_Data!$P$2:$P$73,MATCH($G138,Weather_Data!$J$2:$J$73,0))</f>
        <v>262.5</v>
      </c>
      <c r="L138" s="3" t="n">
        <f aca="false">INDEX(Weather_Data!$Q$2:$Q$73,MATCH($G138,Weather_Data!$J$2:$J$73,0))</f>
        <v>15</v>
      </c>
      <c r="M138" s="3" t="str">
        <f aca="false">INDEX(Shelter_Design!$I$2:$I$41,MATCH($B138,Shelter_Design!$A$2:$A$41,0))</f>
        <v>M02</v>
      </c>
      <c r="N138" s="3" t="n">
        <f aca="false">IFERROR(INDEX(Material_Properties!$D$2:$D$21,MATCH(M138,Material_Properties!$A$2:$A$21,0)),1)</f>
        <v>0.7</v>
      </c>
      <c r="O138" s="3" t="n">
        <f aca="false">INDEX(Shelter_Design!$M$2:$M$41,MATCH($B138,Shelter_Design!$A$2:$A$41,0))</f>
        <v>150</v>
      </c>
      <c r="P138" s="3" t="str">
        <f aca="false">INDEX(Shelter_Design!$L$2:$L$41,MATCH($B138,Shelter_Design!$A$2:$A$41,0))</f>
        <v>None</v>
      </c>
      <c r="Q138" s="3" t="n">
        <f aca="false">IF(P138="None",0,IFERROR(INDEX(Material_Properties!$D$2:$D$21,MATCH(P138,Material_Properties!$A$2:$A$21,0)),0))</f>
        <v>0</v>
      </c>
      <c r="R138" s="3" t="n">
        <f aca="false">INDEX(Shelter_Design!$O$2:$O$41,MATCH($B138,Shelter_Design!$A$2:$A$41,0))</f>
        <v>0</v>
      </c>
      <c r="S138" s="3" t="n">
        <f aca="false">(O138/1000)/N138</f>
        <v>0.214285714285714</v>
      </c>
      <c r="T138" s="3" t="n">
        <f aca="false">IF(OR(P138="None",Q138=0),0,(R138/1000)/Q138)</f>
        <v>0</v>
      </c>
      <c r="U138" s="3" t="n">
        <v>0.17</v>
      </c>
      <c r="V138" s="3" t="n">
        <f aca="false">S138+T138+U138</f>
        <v>0.384285714285714</v>
      </c>
      <c r="W138" s="3" t="n">
        <f aca="false">1/V138</f>
        <v>2.60223048327138</v>
      </c>
      <c r="X138" s="3" t="n">
        <f aca="false">INDEX(Shelter_Design!$R$2:$R$41,MATCH($B138,Shelter_Design!$A$2:$A$41,0))</f>
        <v>50.5</v>
      </c>
      <c r="Y138" s="3" t="n">
        <f aca="false">INDEX(Shelter_Design!$P$2:$P$41,MATCH($B138,Shelter_Design!$A$2:$A$41,0))</f>
        <v>3.5</v>
      </c>
      <c r="Z138" s="3" t="n">
        <f aca="false">INDEX(Shelter_Design!$G$2:$G$41,MATCH($B138,Shelter_Design!$A$2:$A$41,0))</f>
        <v>60</v>
      </c>
      <c r="AA138" s="3" t="n">
        <f aca="false">INDEX(Shelter_Design!$S$2:$S$41,MATCH($B138,Shelter_Design!$A$2:$A$41,0))</f>
        <v>0.0648148148148148</v>
      </c>
      <c r="AB138" s="3" t="n">
        <f aca="false">INDEX(Shelter_Design!$Y$2:$Y$41,MATCH($B138,Shelter_Design!$A$2:$A$41,0))</f>
        <v>5</v>
      </c>
      <c r="AC138" s="3" t="str">
        <f aca="false">INDEX(Shelter_Design!$Z$2:$Z$41,MATCH($B138,Shelter_Design!$A$2:$A$41,0))</f>
        <v>Light</v>
      </c>
      <c r="AD138" s="3" t="n">
        <f aca="false">INDEX(Shelter_Design!$AA$2:$AA$41,MATCH($B138,Shelter_Design!$A$2:$A$41,0))</f>
        <v>0.5</v>
      </c>
      <c r="AE138" s="3" t="s">
        <v>304</v>
      </c>
    </row>
    <row r="139" customFormat="false" ht="15" hidden="false" customHeight="true" outlineLevel="0" collapsed="false">
      <c r="A139" s="3" t="s">
        <v>441</v>
      </c>
      <c r="B139" s="3" t="s">
        <v>260</v>
      </c>
      <c r="C139" s="3" t="s">
        <v>252</v>
      </c>
      <c r="D139" s="3" t="s">
        <v>303</v>
      </c>
      <c r="E139" s="3" t="s">
        <v>67</v>
      </c>
      <c r="F139" s="3" t="s">
        <v>42</v>
      </c>
      <c r="G139" s="3" t="str">
        <f aca="false">E139&amp;"-"&amp;F139</f>
        <v>Chennai-July</v>
      </c>
      <c r="H139" s="3" t="n">
        <f aca="false">INDEX(Weather_Data!$K$2:$K$73,MATCH($G139,Weather_Data!$J$2:$J$73,0))</f>
        <v>31</v>
      </c>
      <c r="I139" s="3" t="n">
        <f aca="false">INDEX(Weather_Data!$L$2:$L$73,MATCH($G139,Weather_Data!$J$2:$J$73,0))</f>
        <v>65</v>
      </c>
      <c r="J139" s="3" t="n">
        <f aca="false">INDEX(Weather_Data!$M$2:$M$73,MATCH($G139,Weather_Data!$J$2:$J$73,0))</f>
        <v>3.5</v>
      </c>
      <c r="K139" s="3" t="n">
        <f aca="false">INDEX(Weather_Data!$P$2:$P$73,MATCH($G139,Weather_Data!$J$2:$J$73,0))</f>
        <v>216.666666666667</v>
      </c>
      <c r="L139" s="3" t="n">
        <f aca="false">INDEX(Weather_Data!$Q$2:$Q$73,MATCH($G139,Weather_Data!$J$2:$J$73,0))</f>
        <v>90</v>
      </c>
      <c r="M139" s="3" t="str">
        <f aca="false">INDEX(Shelter_Design!$I$2:$I$41,MATCH($B139,Shelter_Design!$A$2:$A$41,0))</f>
        <v>M02</v>
      </c>
      <c r="N139" s="3" t="n">
        <f aca="false">IFERROR(INDEX(Material_Properties!$D$2:$D$21,MATCH(M139,Material_Properties!$A$2:$A$21,0)),1)</f>
        <v>0.7</v>
      </c>
      <c r="O139" s="3" t="n">
        <f aca="false">INDEX(Shelter_Design!$M$2:$M$41,MATCH($B139,Shelter_Design!$A$2:$A$41,0))</f>
        <v>150</v>
      </c>
      <c r="P139" s="3" t="str">
        <f aca="false">INDEX(Shelter_Design!$L$2:$L$41,MATCH($B139,Shelter_Design!$A$2:$A$41,0))</f>
        <v>None</v>
      </c>
      <c r="Q139" s="3" t="n">
        <f aca="false">IF(P139="None",0,IFERROR(INDEX(Material_Properties!$D$2:$D$21,MATCH(P139,Material_Properties!$A$2:$A$21,0)),0))</f>
        <v>0</v>
      </c>
      <c r="R139" s="3" t="n">
        <f aca="false">INDEX(Shelter_Design!$O$2:$O$41,MATCH($B139,Shelter_Design!$A$2:$A$41,0))</f>
        <v>0</v>
      </c>
      <c r="S139" s="3" t="n">
        <f aca="false">(O139/1000)/N139</f>
        <v>0.214285714285714</v>
      </c>
      <c r="T139" s="3" t="n">
        <f aca="false">IF(OR(P139="None",Q139=0),0,(R139/1000)/Q139)</f>
        <v>0</v>
      </c>
      <c r="U139" s="3" t="n">
        <v>0.17</v>
      </c>
      <c r="V139" s="3" t="n">
        <f aca="false">S139+T139+U139</f>
        <v>0.384285714285714</v>
      </c>
      <c r="W139" s="3" t="n">
        <f aca="false">1/V139</f>
        <v>2.60223048327138</v>
      </c>
      <c r="X139" s="3" t="n">
        <f aca="false">INDEX(Shelter_Design!$R$2:$R$41,MATCH($B139,Shelter_Design!$A$2:$A$41,0))</f>
        <v>50.5</v>
      </c>
      <c r="Y139" s="3" t="n">
        <f aca="false">INDEX(Shelter_Design!$P$2:$P$41,MATCH($B139,Shelter_Design!$A$2:$A$41,0))</f>
        <v>3.5</v>
      </c>
      <c r="Z139" s="3" t="n">
        <f aca="false">INDEX(Shelter_Design!$G$2:$G$41,MATCH($B139,Shelter_Design!$A$2:$A$41,0))</f>
        <v>60</v>
      </c>
      <c r="AA139" s="3" t="n">
        <f aca="false">INDEX(Shelter_Design!$S$2:$S$41,MATCH($B139,Shelter_Design!$A$2:$A$41,0))</f>
        <v>0.0648148148148148</v>
      </c>
      <c r="AB139" s="3" t="n">
        <f aca="false">INDEX(Shelter_Design!$Y$2:$Y$41,MATCH($B139,Shelter_Design!$A$2:$A$41,0))</f>
        <v>5</v>
      </c>
      <c r="AC139" s="3" t="str">
        <f aca="false">INDEX(Shelter_Design!$Z$2:$Z$41,MATCH($B139,Shelter_Design!$A$2:$A$41,0))</f>
        <v>Light</v>
      </c>
      <c r="AD139" s="3" t="n">
        <f aca="false">INDEX(Shelter_Design!$AA$2:$AA$41,MATCH($B139,Shelter_Design!$A$2:$A$41,0))</f>
        <v>0.5</v>
      </c>
      <c r="AE139" s="3" t="s">
        <v>304</v>
      </c>
    </row>
    <row r="140" customFormat="false" ht="15" hidden="false" customHeight="true" outlineLevel="0" collapsed="false">
      <c r="A140" s="3" t="s">
        <v>442</v>
      </c>
      <c r="B140" s="3" t="s">
        <v>260</v>
      </c>
      <c r="C140" s="3" t="s">
        <v>252</v>
      </c>
      <c r="D140" s="3" t="s">
        <v>303</v>
      </c>
      <c r="E140" s="3" t="s">
        <v>67</v>
      </c>
      <c r="F140" s="3" t="s">
        <v>46</v>
      </c>
      <c r="G140" s="3" t="str">
        <f aca="false">E140&amp;"-"&amp;F140</f>
        <v>Chennai-September</v>
      </c>
      <c r="H140" s="3" t="n">
        <f aca="false">INDEX(Weather_Data!$K$2:$K$73,MATCH($G140,Weather_Data!$J$2:$J$73,0))</f>
        <v>30</v>
      </c>
      <c r="I140" s="3" t="n">
        <f aca="false">INDEX(Weather_Data!$L$2:$L$73,MATCH($G140,Weather_Data!$J$2:$J$73,0))</f>
        <v>72</v>
      </c>
      <c r="J140" s="3" t="n">
        <f aca="false">INDEX(Weather_Data!$M$2:$M$73,MATCH($G140,Weather_Data!$J$2:$J$73,0))</f>
        <v>3.5</v>
      </c>
      <c r="K140" s="3" t="n">
        <f aca="false">INDEX(Weather_Data!$P$2:$P$73,MATCH($G140,Weather_Data!$J$2:$J$73,0))</f>
        <v>216.666666666667</v>
      </c>
      <c r="L140" s="3" t="n">
        <f aca="false">INDEX(Weather_Data!$Q$2:$Q$73,MATCH($G140,Weather_Data!$J$2:$J$73,0))</f>
        <v>120</v>
      </c>
      <c r="M140" s="3" t="str">
        <f aca="false">INDEX(Shelter_Design!$I$2:$I$41,MATCH($B140,Shelter_Design!$A$2:$A$41,0))</f>
        <v>M02</v>
      </c>
      <c r="N140" s="3" t="n">
        <f aca="false">IFERROR(INDEX(Material_Properties!$D$2:$D$21,MATCH(M140,Material_Properties!$A$2:$A$21,0)),1)</f>
        <v>0.7</v>
      </c>
      <c r="O140" s="3" t="n">
        <f aca="false">INDEX(Shelter_Design!$M$2:$M$41,MATCH($B140,Shelter_Design!$A$2:$A$41,0))</f>
        <v>150</v>
      </c>
      <c r="P140" s="3" t="str">
        <f aca="false">INDEX(Shelter_Design!$L$2:$L$41,MATCH($B140,Shelter_Design!$A$2:$A$41,0))</f>
        <v>None</v>
      </c>
      <c r="Q140" s="3" t="n">
        <f aca="false">IF(P140="None",0,IFERROR(INDEX(Material_Properties!$D$2:$D$21,MATCH(P140,Material_Properties!$A$2:$A$21,0)),0))</f>
        <v>0</v>
      </c>
      <c r="R140" s="3" t="n">
        <f aca="false">INDEX(Shelter_Design!$O$2:$O$41,MATCH($B140,Shelter_Design!$A$2:$A$41,0))</f>
        <v>0</v>
      </c>
      <c r="S140" s="3" t="n">
        <f aca="false">(O140/1000)/N140</f>
        <v>0.214285714285714</v>
      </c>
      <c r="T140" s="3" t="n">
        <f aca="false">IF(OR(P140="None",Q140=0),0,(R140/1000)/Q140)</f>
        <v>0</v>
      </c>
      <c r="U140" s="3" t="n">
        <v>0.17</v>
      </c>
      <c r="V140" s="3" t="n">
        <f aca="false">S140+T140+U140</f>
        <v>0.384285714285714</v>
      </c>
      <c r="W140" s="3" t="n">
        <f aca="false">1/V140</f>
        <v>2.60223048327138</v>
      </c>
      <c r="X140" s="3" t="n">
        <f aca="false">INDEX(Shelter_Design!$R$2:$R$41,MATCH($B140,Shelter_Design!$A$2:$A$41,0))</f>
        <v>50.5</v>
      </c>
      <c r="Y140" s="3" t="n">
        <f aca="false">INDEX(Shelter_Design!$P$2:$P$41,MATCH($B140,Shelter_Design!$A$2:$A$41,0))</f>
        <v>3.5</v>
      </c>
      <c r="Z140" s="3" t="n">
        <f aca="false">INDEX(Shelter_Design!$G$2:$G$41,MATCH($B140,Shelter_Design!$A$2:$A$41,0))</f>
        <v>60</v>
      </c>
      <c r="AA140" s="3" t="n">
        <f aca="false">INDEX(Shelter_Design!$S$2:$S$41,MATCH($B140,Shelter_Design!$A$2:$A$41,0))</f>
        <v>0.0648148148148148</v>
      </c>
      <c r="AB140" s="3" t="n">
        <f aca="false">INDEX(Shelter_Design!$Y$2:$Y$41,MATCH($B140,Shelter_Design!$A$2:$A$41,0))</f>
        <v>5</v>
      </c>
      <c r="AC140" s="3" t="str">
        <f aca="false">INDEX(Shelter_Design!$Z$2:$Z$41,MATCH($B140,Shelter_Design!$A$2:$A$41,0))</f>
        <v>Light</v>
      </c>
      <c r="AD140" s="3" t="n">
        <f aca="false">INDEX(Shelter_Design!$AA$2:$AA$41,MATCH($B140,Shelter_Design!$A$2:$A$41,0))</f>
        <v>0.5</v>
      </c>
      <c r="AE140" s="3" t="s">
        <v>304</v>
      </c>
    </row>
    <row r="141" customFormat="false" ht="15" hidden="false" customHeight="true" outlineLevel="0" collapsed="false">
      <c r="A141" s="3" t="s">
        <v>443</v>
      </c>
      <c r="B141" s="3" t="s">
        <v>260</v>
      </c>
      <c r="C141" s="3" t="s">
        <v>252</v>
      </c>
      <c r="D141" s="3" t="s">
        <v>303</v>
      </c>
      <c r="E141" s="3" t="s">
        <v>67</v>
      </c>
      <c r="F141" s="3" t="s">
        <v>51</v>
      </c>
      <c r="G141" s="3" t="str">
        <f aca="false">E141&amp;"-"&amp;F141</f>
        <v>Chennai-November</v>
      </c>
      <c r="H141" s="3" t="n">
        <f aca="false">INDEX(Weather_Data!$K$2:$K$73,MATCH($G141,Weather_Data!$J$2:$J$73,0))</f>
        <v>26</v>
      </c>
      <c r="I141" s="3" t="n">
        <f aca="false">INDEX(Weather_Data!$L$2:$L$73,MATCH($G141,Weather_Data!$J$2:$J$73,0))</f>
        <v>80</v>
      </c>
      <c r="J141" s="3" t="n">
        <f aca="false">INDEX(Weather_Data!$M$2:$M$73,MATCH($G141,Weather_Data!$J$2:$J$73,0))</f>
        <v>5</v>
      </c>
      <c r="K141" s="3" t="n">
        <f aca="false">INDEX(Weather_Data!$P$2:$P$73,MATCH($G141,Weather_Data!$J$2:$J$73,0))</f>
        <v>158.333333333333</v>
      </c>
      <c r="L141" s="3" t="n">
        <f aca="false">INDEX(Weather_Data!$Q$2:$Q$73,MATCH($G141,Weather_Data!$J$2:$J$73,0))</f>
        <v>320</v>
      </c>
      <c r="M141" s="3" t="str">
        <f aca="false">INDEX(Shelter_Design!$I$2:$I$41,MATCH($B141,Shelter_Design!$A$2:$A$41,0))</f>
        <v>M02</v>
      </c>
      <c r="N141" s="3" t="n">
        <f aca="false">IFERROR(INDEX(Material_Properties!$D$2:$D$21,MATCH(M141,Material_Properties!$A$2:$A$21,0)),1)</f>
        <v>0.7</v>
      </c>
      <c r="O141" s="3" t="n">
        <f aca="false">INDEX(Shelter_Design!$M$2:$M$41,MATCH($B141,Shelter_Design!$A$2:$A$41,0))</f>
        <v>150</v>
      </c>
      <c r="P141" s="3" t="str">
        <f aca="false">INDEX(Shelter_Design!$L$2:$L$41,MATCH($B141,Shelter_Design!$A$2:$A$41,0))</f>
        <v>None</v>
      </c>
      <c r="Q141" s="3" t="n">
        <f aca="false">IF(P141="None",0,IFERROR(INDEX(Material_Properties!$D$2:$D$21,MATCH(P141,Material_Properties!$A$2:$A$21,0)),0))</f>
        <v>0</v>
      </c>
      <c r="R141" s="3" t="n">
        <f aca="false">INDEX(Shelter_Design!$O$2:$O$41,MATCH($B141,Shelter_Design!$A$2:$A$41,0))</f>
        <v>0</v>
      </c>
      <c r="S141" s="3" t="n">
        <f aca="false">(O141/1000)/N141</f>
        <v>0.214285714285714</v>
      </c>
      <c r="T141" s="3" t="n">
        <f aca="false">IF(OR(P141="None",Q141=0),0,(R141/1000)/Q141)</f>
        <v>0</v>
      </c>
      <c r="U141" s="3" t="n">
        <v>0.17</v>
      </c>
      <c r="V141" s="3" t="n">
        <f aca="false">S141+T141+U141</f>
        <v>0.384285714285714</v>
      </c>
      <c r="W141" s="3" t="n">
        <f aca="false">1/V141</f>
        <v>2.60223048327138</v>
      </c>
      <c r="X141" s="3" t="n">
        <f aca="false">INDEX(Shelter_Design!$R$2:$R$41,MATCH($B141,Shelter_Design!$A$2:$A$41,0))</f>
        <v>50.5</v>
      </c>
      <c r="Y141" s="3" t="n">
        <f aca="false">INDEX(Shelter_Design!$P$2:$P$41,MATCH($B141,Shelter_Design!$A$2:$A$41,0))</f>
        <v>3.5</v>
      </c>
      <c r="Z141" s="3" t="n">
        <f aca="false">INDEX(Shelter_Design!$G$2:$G$41,MATCH($B141,Shelter_Design!$A$2:$A$41,0))</f>
        <v>60</v>
      </c>
      <c r="AA141" s="3" t="n">
        <f aca="false">INDEX(Shelter_Design!$S$2:$S$41,MATCH($B141,Shelter_Design!$A$2:$A$41,0))</f>
        <v>0.0648148148148148</v>
      </c>
      <c r="AB141" s="3" t="n">
        <f aca="false">INDEX(Shelter_Design!$Y$2:$Y$41,MATCH($B141,Shelter_Design!$A$2:$A$41,0))</f>
        <v>5</v>
      </c>
      <c r="AC141" s="3" t="str">
        <f aca="false">INDEX(Shelter_Design!$Z$2:$Z$41,MATCH($B141,Shelter_Design!$A$2:$A$41,0))</f>
        <v>Light</v>
      </c>
      <c r="AD141" s="3" t="n">
        <f aca="false">INDEX(Shelter_Design!$AA$2:$AA$41,MATCH($B141,Shelter_Design!$A$2:$A$41,0))</f>
        <v>0.5</v>
      </c>
      <c r="AE141" s="3" t="s">
        <v>304</v>
      </c>
    </row>
    <row r="142" customFormat="false" ht="15" hidden="false" customHeight="true" outlineLevel="0" collapsed="false">
      <c r="A142" s="3" t="s">
        <v>444</v>
      </c>
      <c r="B142" s="3" t="s">
        <v>261</v>
      </c>
      <c r="C142" s="3" t="s">
        <v>252</v>
      </c>
      <c r="D142" s="3" t="s">
        <v>303</v>
      </c>
      <c r="E142" s="3" t="s">
        <v>62</v>
      </c>
      <c r="F142" s="3" t="s">
        <v>22</v>
      </c>
      <c r="G142" s="3" t="str">
        <f aca="false">E142&amp;"-"&amp;F142</f>
        <v>Guwahati-January</v>
      </c>
      <c r="H142" s="3" t="n">
        <f aca="false">INDEX(Weather_Data!$K$2:$K$73,MATCH($G142,Weather_Data!$J$2:$J$73,0))</f>
        <v>16</v>
      </c>
      <c r="I142" s="3" t="n">
        <f aca="false">INDEX(Weather_Data!$L$2:$L$73,MATCH($G142,Weather_Data!$J$2:$J$73,0))</f>
        <v>75</v>
      </c>
      <c r="J142" s="3" t="n">
        <f aca="false">INDEX(Weather_Data!$M$2:$M$73,MATCH($G142,Weather_Data!$J$2:$J$73,0))</f>
        <v>1</v>
      </c>
      <c r="K142" s="3" t="n">
        <f aca="false">INDEX(Weather_Data!$P$2:$P$73,MATCH($G142,Weather_Data!$J$2:$J$73,0))</f>
        <v>158.333333333333</v>
      </c>
      <c r="L142" s="3" t="n">
        <f aca="false">INDEX(Weather_Data!$Q$2:$Q$73,MATCH($G142,Weather_Data!$J$2:$J$73,0))</f>
        <v>15</v>
      </c>
      <c r="M142" s="3" t="str">
        <f aca="false">INDEX(Shelter_Design!$I$2:$I$41,MATCH($B142,Shelter_Design!$A$2:$A$41,0))</f>
        <v>M06</v>
      </c>
      <c r="N142" s="3" t="n">
        <f aca="false">IFERROR(INDEX(Material_Properties!$D$2:$D$21,MATCH(M142,Material_Properties!$A$2:$A$21,0)),1)</f>
        <v>0.14</v>
      </c>
      <c r="O142" s="3" t="n">
        <f aca="false">INDEX(Shelter_Design!$M$2:$M$41,MATCH($B142,Shelter_Design!$A$2:$A$41,0))</f>
        <v>150</v>
      </c>
      <c r="P142" s="3" t="str">
        <f aca="false">INDEX(Shelter_Design!$L$2:$L$41,MATCH($B142,Shelter_Design!$A$2:$A$41,0))</f>
        <v>None</v>
      </c>
      <c r="Q142" s="3" t="n">
        <f aca="false">IF(P142="None",0,IFERROR(INDEX(Material_Properties!$D$2:$D$21,MATCH(P142,Material_Properties!$A$2:$A$21,0)),0))</f>
        <v>0</v>
      </c>
      <c r="R142" s="3" t="n">
        <f aca="false">INDEX(Shelter_Design!$O$2:$O$41,MATCH($B142,Shelter_Design!$A$2:$A$41,0))</f>
        <v>0</v>
      </c>
      <c r="S142" s="3" t="n">
        <f aca="false">(O142/1000)/N142</f>
        <v>1.07142857142857</v>
      </c>
      <c r="T142" s="3" t="n">
        <f aca="false">IF(OR(P142="None",Q142=0),0,(R142/1000)/Q142)</f>
        <v>0</v>
      </c>
      <c r="U142" s="3" t="n">
        <v>0.17</v>
      </c>
      <c r="V142" s="3" t="n">
        <f aca="false">S142+T142+U142</f>
        <v>1.24142857142857</v>
      </c>
      <c r="W142" s="3" t="n">
        <f aca="false">1/V142</f>
        <v>0.805523590333717</v>
      </c>
      <c r="X142" s="3" t="n">
        <f aca="false">INDEX(Shelter_Design!$R$2:$R$41,MATCH($B142,Shelter_Design!$A$2:$A$41,0))</f>
        <v>34.65</v>
      </c>
      <c r="Y142" s="3" t="n">
        <f aca="false">INDEX(Shelter_Design!$P$2:$P$41,MATCH($B142,Shelter_Design!$A$2:$A$41,0))</f>
        <v>1.75</v>
      </c>
      <c r="Z142" s="3" t="n">
        <f aca="false">INDEX(Shelter_Design!$G$2:$G$41,MATCH($B142,Shelter_Design!$A$2:$A$41,0))</f>
        <v>29.4</v>
      </c>
      <c r="AA142" s="3" t="n">
        <f aca="false">INDEX(Shelter_Design!$S$2:$S$41,MATCH($B142,Shelter_Design!$A$2:$A$41,0))</f>
        <v>0.0480769230769231</v>
      </c>
      <c r="AB142" s="3" t="n">
        <f aca="false">INDEX(Shelter_Design!$Y$2:$Y$41,MATCH($B142,Shelter_Design!$A$2:$A$41,0))</f>
        <v>2</v>
      </c>
      <c r="AC142" s="3" t="str">
        <f aca="false">INDEX(Shelter_Design!$Z$2:$Z$41,MATCH($B142,Shelter_Design!$A$2:$A$41,0))</f>
        <v>Light</v>
      </c>
      <c r="AD142" s="3" t="n">
        <f aca="false">INDEX(Shelter_Design!$AA$2:$AA$41,MATCH($B142,Shelter_Design!$A$2:$A$41,0))</f>
        <v>0.5</v>
      </c>
      <c r="AE142" s="3" t="s">
        <v>304</v>
      </c>
    </row>
    <row r="143" customFormat="false" ht="15" hidden="false" customHeight="true" outlineLevel="0" collapsed="false">
      <c r="A143" s="3" t="s">
        <v>445</v>
      </c>
      <c r="B143" s="3" t="s">
        <v>261</v>
      </c>
      <c r="C143" s="3" t="s">
        <v>252</v>
      </c>
      <c r="D143" s="3" t="s">
        <v>303</v>
      </c>
      <c r="E143" s="3" t="s">
        <v>62</v>
      </c>
      <c r="F143" s="3" t="s">
        <v>33</v>
      </c>
      <c r="G143" s="3" t="str">
        <f aca="false">E143&amp;"-"&amp;F143</f>
        <v>Guwahati-April</v>
      </c>
      <c r="H143" s="3" t="n">
        <f aca="false">INDEX(Weather_Data!$K$2:$K$73,MATCH($G143,Weather_Data!$J$2:$J$73,0))</f>
        <v>25</v>
      </c>
      <c r="I143" s="3" t="n">
        <f aca="false">INDEX(Weather_Data!$L$2:$L$73,MATCH($G143,Weather_Data!$J$2:$J$73,0))</f>
        <v>70</v>
      </c>
      <c r="J143" s="3" t="n">
        <f aca="false">INDEX(Weather_Data!$M$2:$M$73,MATCH($G143,Weather_Data!$J$2:$J$73,0))</f>
        <v>2</v>
      </c>
      <c r="K143" s="3" t="n">
        <f aca="false">INDEX(Weather_Data!$P$2:$P$73,MATCH($G143,Weather_Data!$J$2:$J$73,0))</f>
        <v>200</v>
      </c>
      <c r="L143" s="3" t="n">
        <f aca="false">INDEX(Weather_Data!$Q$2:$Q$73,MATCH($G143,Weather_Data!$J$2:$J$73,0))</f>
        <v>150</v>
      </c>
      <c r="M143" s="3" t="str">
        <f aca="false">INDEX(Shelter_Design!$I$2:$I$41,MATCH($B143,Shelter_Design!$A$2:$A$41,0))</f>
        <v>M06</v>
      </c>
      <c r="N143" s="3" t="n">
        <f aca="false">IFERROR(INDEX(Material_Properties!$D$2:$D$21,MATCH(M143,Material_Properties!$A$2:$A$21,0)),1)</f>
        <v>0.14</v>
      </c>
      <c r="O143" s="3" t="n">
        <f aca="false">INDEX(Shelter_Design!$M$2:$M$41,MATCH($B143,Shelter_Design!$A$2:$A$41,0))</f>
        <v>150</v>
      </c>
      <c r="P143" s="3" t="str">
        <f aca="false">INDEX(Shelter_Design!$L$2:$L$41,MATCH($B143,Shelter_Design!$A$2:$A$41,0))</f>
        <v>None</v>
      </c>
      <c r="Q143" s="3" t="n">
        <f aca="false">IF(P143="None",0,IFERROR(INDEX(Material_Properties!$D$2:$D$21,MATCH(P143,Material_Properties!$A$2:$A$21,0)),0))</f>
        <v>0</v>
      </c>
      <c r="R143" s="3" t="n">
        <f aca="false">INDEX(Shelter_Design!$O$2:$O$41,MATCH($B143,Shelter_Design!$A$2:$A$41,0))</f>
        <v>0</v>
      </c>
      <c r="S143" s="3" t="n">
        <f aca="false">(O143/1000)/N143</f>
        <v>1.07142857142857</v>
      </c>
      <c r="T143" s="3" t="n">
        <f aca="false">IF(OR(P143="None",Q143=0),0,(R143/1000)/Q143)</f>
        <v>0</v>
      </c>
      <c r="U143" s="3" t="n">
        <v>0.17</v>
      </c>
      <c r="V143" s="3" t="n">
        <f aca="false">S143+T143+U143</f>
        <v>1.24142857142857</v>
      </c>
      <c r="W143" s="3" t="n">
        <f aca="false">1/V143</f>
        <v>0.805523590333717</v>
      </c>
      <c r="X143" s="3" t="n">
        <f aca="false">INDEX(Shelter_Design!$R$2:$R$41,MATCH($B143,Shelter_Design!$A$2:$A$41,0))</f>
        <v>34.65</v>
      </c>
      <c r="Y143" s="3" t="n">
        <f aca="false">INDEX(Shelter_Design!$P$2:$P$41,MATCH($B143,Shelter_Design!$A$2:$A$41,0))</f>
        <v>1.75</v>
      </c>
      <c r="Z143" s="3" t="n">
        <f aca="false">INDEX(Shelter_Design!$G$2:$G$41,MATCH($B143,Shelter_Design!$A$2:$A$41,0))</f>
        <v>29.4</v>
      </c>
      <c r="AA143" s="3" t="n">
        <f aca="false">INDEX(Shelter_Design!$S$2:$S$41,MATCH($B143,Shelter_Design!$A$2:$A$41,0))</f>
        <v>0.0480769230769231</v>
      </c>
      <c r="AB143" s="3" t="n">
        <f aca="false">INDEX(Shelter_Design!$Y$2:$Y$41,MATCH($B143,Shelter_Design!$A$2:$A$41,0))</f>
        <v>2</v>
      </c>
      <c r="AC143" s="3" t="str">
        <f aca="false">INDEX(Shelter_Design!$Z$2:$Z$41,MATCH($B143,Shelter_Design!$A$2:$A$41,0))</f>
        <v>Light</v>
      </c>
      <c r="AD143" s="3" t="n">
        <f aca="false">INDEX(Shelter_Design!$AA$2:$AA$41,MATCH($B143,Shelter_Design!$A$2:$A$41,0))</f>
        <v>0.5</v>
      </c>
      <c r="AE143" s="3" t="s">
        <v>304</v>
      </c>
    </row>
    <row r="144" customFormat="false" ht="15" hidden="false" customHeight="true" outlineLevel="0" collapsed="false">
      <c r="A144" s="3" t="s">
        <v>446</v>
      </c>
      <c r="B144" s="3" t="s">
        <v>261</v>
      </c>
      <c r="C144" s="3" t="s">
        <v>252</v>
      </c>
      <c r="D144" s="3" t="s">
        <v>303</v>
      </c>
      <c r="E144" s="3" t="s">
        <v>62</v>
      </c>
      <c r="F144" s="3" t="s">
        <v>42</v>
      </c>
      <c r="G144" s="3" t="str">
        <f aca="false">E144&amp;"-"&amp;F144</f>
        <v>Guwahati-July</v>
      </c>
      <c r="H144" s="3" t="n">
        <f aca="false">INDEX(Weather_Data!$K$2:$K$73,MATCH($G144,Weather_Data!$J$2:$J$73,0))</f>
        <v>28</v>
      </c>
      <c r="I144" s="3" t="n">
        <f aca="false">INDEX(Weather_Data!$L$2:$L$73,MATCH($G144,Weather_Data!$J$2:$J$73,0))</f>
        <v>88</v>
      </c>
      <c r="J144" s="3" t="n">
        <f aca="false">INDEX(Weather_Data!$M$2:$M$73,MATCH($G144,Weather_Data!$J$2:$J$73,0))</f>
        <v>2.3</v>
      </c>
      <c r="K144" s="3" t="n">
        <f aca="false">INDEX(Weather_Data!$P$2:$P$73,MATCH($G144,Weather_Data!$J$2:$J$73,0))</f>
        <v>158.333333333333</v>
      </c>
      <c r="L144" s="3" t="n">
        <f aca="false">INDEX(Weather_Data!$Q$2:$Q$73,MATCH($G144,Weather_Data!$J$2:$J$73,0))</f>
        <v>320</v>
      </c>
      <c r="M144" s="3" t="str">
        <f aca="false">INDEX(Shelter_Design!$I$2:$I$41,MATCH($B144,Shelter_Design!$A$2:$A$41,0))</f>
        <v>M06</v>
      </c>
      <c r="N144" s="3" t="n">
        <f aca="false">IFERROR(INDEX(Material_Properties!$D$2:$D$21,MATCH(M144,Material_Properties!$A$2:$A$21,0)),1)</f>
        <v>0.14</v>
      </c>
      <c r="O144" s="3" t="n">
        <f aca="false">INDEX(Shelter_Design!$M$2:$M$41,MATCH($B144,Shelter_Design!$A$2:$A$41,0))</f>
        <v>150</v>
      </c>
      <c r="P144" s="3" t="str">
        <f aca="false">INDEX(Shelter_Design!$L$2:$L$41,MATCH($B144,Shelter_Design!$A$2:$A$41,0))</f>
        <v>None</v>
      </c>
      <c r="Q144" s="3" t="n">
        <f aca="false">IF(P144="None",0,IFERROR(INDEX(Material_Properties!$D$2:$D$21,MATCH(P144,Material_Properties!$A$2:$A$21,0)),0))</f>
        <v>0</v>
      </c>
      <c r="R144" s="3" t="n">
        <f aca="false">INDEX(Shelter_Design!$O$2:$O$41,MATCH($B144,Shelter_Design!$A$2:$A$41,0))</f>
        <v>0</v>
      </c>
      <c r="S144" s="3" t="n">
        <f aca="false">(O144/1000)/N144</f>
        <v>1.07142857142857</v>
      </c>
      <c r="T144" s="3" t="n">
        <f aca="false">IF(OR(P144="None",Q144=0),0,(R144/1000)/Q144)</f>
        <v>0</v>
      </c>
      <c r="U144" s="3" t="n">
        <v>0.17</v>
      </c>
      <c r="V144" s="3" t="n">
        <f aca="false">S144+T144+U144</f>
        <v>1.24142857142857</v>
      </c>
      <c r="W144" s="3" t="n">
        <f aca="false">1/V144</f>
        <v>0.805523590333717</v>
      </c>
      <c r="X144" s="3" t="n">
        <f aca="false">INDEX(Shelter_Design!$R$2:$R$41,MATCH($B144,Shelter_Design!$A$2:$A$41,0))</f>
        <v>34.65</v>
      </c>
      <c r="Y144" s="3" t="n">
        <f aca="false">INDEX(Shelter_Design!$P$2:$P$41,MATCH($B144,Shelter_Design!$A$2:$A$41,0))</f>
        <v>1.75</v>
      </c>
      <c r="Z144" s="3" t="n">
        <f aca="false">INDEX(Shelter_Design!$G$2:$G$41,MATCH($B144,Shelter_Design!$A$2:$A$41,0))</f>
        <v>29.4</v>
      </c>
      <c r="AA144" s="3" t="n">
        <f aca="false">INDEX(Shelter_Design!$S$2:$S$41,MATCH($B144,Shelter_Design!$A$2:$A$41,0))</f>
        <v>0.0480769230769231</v>
      </c>
      <c r="AB144" s="3" t="n">
        <f aca="false">INDEX(Shelter_Design!$Y$2:$Y$41,MATCH($B144,Shelter_Design!$A$2:$A$41,0))</f>
        <v>2</v>
      </c>
      <c r="AC144" s="3" t="str">
        <f aca="false">INDEX(Shelter_Design!$Z$2:$Z$41,MATCH($B144,Shelter_Design!$A$2:$A$41,0))</f>
        <v>Light</v>
      </c>
      <c r="AD144" s="3" t="n">
        <f aca="false">INDEX(Shelter_Design!$AA$2:$AA$41,MATCH($B144,Shelter_Design!$A$2:$A$41,0))</f>
        <v>0.5</v>
      </c>
      <c r="AE144" s="3" t="s">
        <v>304</v>
      </c>
    </row>
    <row r="145" customFormat="false" ht="15" hidden="false" customHeight="true" outlineLevel="0" collapsed="false">
      <c r="A145" s="3" t="s">
        <v>447</v>
      </c>
      <c r="B145" s="3" t="s">
        <v>261</v>
      </c>
      <c r="C145" s="3" t="s">
        <v>252</v>
      </c>
      <c r="D145" s="3" t="s">
        <v>303</v>
      </c>
      <c r="E145" s="3" t="s">
        <v>62</v>
      </c>
      <c r="F145" s="3" t="s">
        <v>46</v>
      </c>
      <c r="G145" s="3" t="str">
        <f aca="false">E145&amp;"-"&amp;F145</f>
        <v>Guwahati-September</v>
      </c>
      <c r="H145" s="3" t="n">
        <f aca="false">INDEX(Weather_Data!$K$2:$K$73,MATCH($G145,Weather_Data!$J$2:$J$73,0))</f>
        <v>28</v>
      </c>
      <c r="I145" s="3" t="n">
        <f aca="false">INDEX(Weather_Data!$L$2:$L$73,MATCH($G145,Weather_Data!$J$2:$J$73,0))</f>
        <v>85</v>
      </c>
      <c r="J145" s="3" t="n">
        <f aca="false">INDEX(Weather_Data!$M$2:$M$73,MATCH($G145,Weather_Data!$J$2:$J$73,0))</f>
        <v>1.8</v>
      </c>
      <c r="K145" s="3" t="n">
        <f aca="false">INDEX(Weather_Data!$P$2:$P$73,MATCH($G145,Weather_Data!$J$2:$J$73,0))</f>
        <v>166.666666666667</v>
      </c>
      <c r="L145" s="3" t="n">
        <f aca="false">INDEX(Weather_Data!$Q$2:$Q$73,MATCH($G145,Weather_Data!$J$2:$J$73,0))</f>
        <v>220</v>
      </c>
      <c r="M145" s="3" t="str">
        <f aca="false">INDEX(Shelter_Design!$I$2:$I$41,MATCH($B145,Shelter_Design!$A$2:$A$41,0))</f>
        <v>M06</v>
      </c>
      <c r="N145" s="3" t="n">
        <f aca="false">IFERROR(INDEX(Material_Properties!$D$2:$D$21,MATCH(M145,Material_Properties!$A$2:$A$21,0)),1)</f>
        <v>0.14</v>
      </c>
      <c r="O145" s="3" t="n">
        <f aca="false">INDEX(Shelter_Design!$M$2:$M$41,MATCH($B145,Shelter_Design!$A$2:$A$41,0))</f>
        <v>150</v>
      </c>
      <c r="P145" s="3" t="str">
        <f aca="false">INDEX(Shelter_Design!$L$2:$L$41,MATCH($B145,Shelter_Design!$A$2:$A$41,0))</f>
        <v>None</v>
      </c>
      <c r="Q145" s="3" t="n">
        <f aca="false">IF(P145="None",0,IFERROR(INDEX(Material_Properties!$D$2:$D$21,MATCH(P145,Material_Properties!$A$2:$A$21,0)),0))</f>
        <v>0</v>
      </c>
      <c r="R145" s="3" t="n">
        <f aca="false">INDEX(Shelter_Design!$O$2:$O$41,MATCH($B145,Shelter_Design!$A$2:$A$41,0))</f>
        <v>0</v>
      </c>
      <c r="S145" s="3" t="n">
        <f aca="false">(O145/1000)/N145</f>
        <v>1.07142857142857</v>
      </c>
      <c r="T145" s="3" t="n">
        <f aca="false">IF(OR(P145="None",Q145=0),0,(R145/1000)/Q145)</f>
        <v>0</v>
      </c>
      <c r="U145" s="3" t="n">
        <v>0.17</v>
      </c>
      <c r="V145" s="3" t="n">
        <f aca="false">S145+T145+U145</f>
        <v>1.24142857142857</v>
      </c>
      <c r="W145" s="3" t="n">
        <f aca="false">1/V145</f>
        <v>0.805523590333717</v>
      </c>
      <c r="X145" s="3" t="n">
        <f aca="false">INDEX(Shelter_Design!$R$2:$R$41,MATCH($B145,Shelter_Design!$A$2:$A$41,0))</f>
        <v>34.65</v>
      </c>
      <c r="Y145" s="3" t="n">
        <f aca="false">INDEX(Shelter_Design!$P$2:$P$41,MATCH($B145,Shelter_Design!$A$2:$A$41,0))</f>
        <v>1.75</v>
      </c>
      <c r="Z145" s="3" t="n">
        <f aca="false">INDEX(Shelter_Design!$G$2:$G$41,MATCH($B145,Shelter_Design!$A$2:$A$41,0))</f>
        <v>29.4</v>
      </c>
      <c r="AA145" s="3" t="n">
        <f aca="false">INDEX(Shelter_Design!$S$2:$S$41,MATCH($B145,Shelter_Design!$A$2:$A$41,0))</f>
        <v>0.0480769230769231</v>
      </c>
      <c r="AB145" s="3" t="n">
        <f aca="false">INDEX(Shelter_Design!$Y$2:$Y$41,MATCH($B145,Shelter_Design!$A$2:$A$41,0))</f>
        <v>2</v>
      </c>
      <c r="AC145" s="3" t="str">
        <f aca="false">INDEX(Shelter_Design!$Z$2:$Z$41,MATCH($B145,Shelter_Design!$A$2:$A$41,0))</f>
        <v>Light</v>
      </c>
      <c r="AD145" s="3" t="n">
        <f aca="false">INDEX(Shelter_Design!$AA$2:$AA$41,MATCH($B145,Shelter_Design!$A$2:$A$41,0))</f>
        <v>0.5</v>
      </c>
      <c r="AE145" s="3" t="s">
        <v>304</v>
      </c>
    </row>
    <row r="146" customFormat="false" ht="15" hidden="false" customHeight="true" outlineLevel="0" collapsed="false">
      <c r="A146" s="3" t="s">
        <v>448</v>
      </c>
      <c r="B146" s="3" t="s">
        <v>261</v>
      </c>
      <c r="C146" s="3" t="s">
        <v>252</v>
      </c>
      <c r="D146" s="3" t="s">
        <v>303</v>
      </c>
      <c r="E146" s="3" t="s">
        <v>62</v>
      </c>
      <c r="F146" s="3" t="s">
        <v>51</v>
      </c>
      <c r="G146" s="3" t="str">
        <f aca="false">E146&amp;"-"&amp;F146</f>
        <v>Guwahati-November</v>
      </c>
      <c r="H146" s="3" t="n">
        <f aca="false">INDEX(Weather_Data!$K$2:$K$73,MATCH($G146,Weather_Data!$J$2:$J$73,0))</f>
        <v>20</v>
      </c>
      <c r="I146" s="3" t="n">
        <f aca="false">INDEX(Weather_Data!$L$2:$L$73,MATCH($G146,Weather_Data!$J$2:$J$73,0))</f>
        <v>78</v>
      </c>
      <c r="J146" s="3" t="n">
        <f aca="false">INDEX(Weather_Data!$M$2:$M$73,MATCH($G146,Weather_Data!$J$2:$J$73,0))</f>
        <v>1.2</v>
      </c>
      <c r="K146" s="3" t="n">
        <f aca="false">INDEX(Weather_Data!$P$2:$P$73,MATCH($G146,Weather_Data!$J$2:$J$73,0))</f>
        <v>158.333333333333</v>
      </c>
      <c r="L146" s="3" t="n">
        <f aca="false">INDEX(Weather_Data!$Q$2:$Q$73,MATCH($G146,Weather_Data!$J$2:$J$73,0))</f>
        <v>25</v>
      </c>
      <c r="M146" s="3" t="str">
        <f aca="false">INDEX(Shelter_Design!$I$2:$I$41,MATCH($B146,Shelter_Design!$A$2:$A$41,0))</f>
        <v>M06</v>
      </c>
      <c r="N146" s="3" t="n">
        <f aca="false">IFERROR(INDEX(Material_Properties!$D$2:$D$21,MATCH(M146,Material_Properties!$A$2:$A$21,0)),1)</f>
        <v>0.14</v>
      </c>
      <c r="O146" s="3" t="n">
        <f aca="false">INDEX(Shelter_Design!$M$2:$M$41,MATCH($B146,Shelter_Design!$A$2:$A$41,0))</f>
        <v>150</v>
      </c>
      <c r="P146" s="3" t="str">
        <f aca="false">INDEX(Shelter_Design!$L$2:$L$41,MATCH($B146,Shelter_Design!$A$2:$A$41,0))</f>
        <v>None</v>
      </c>
      <c r="Q146" s="3" t="n">
        <f aca="false">IF(P146="None",0,IFERROR(INDEX(Material_Properties!$D$2:$D$21,MATCH(P146,Material_Properties!$A$2:$A$21,0)),0))</f>
        <v>0</v>
      </c>
      <c r="R146" s="3" t="n">
        <f aca="false">INDEX(Shelter_Design!$O$2:$O$41,MATCH($B146,Shelter_Design!$A$2:$A$41,0))</f>
        <v>0</v>
      </c>
      <c r="S146" s="3" t="n">
        <f aca="false">(O146/1000)/N146</f>
        <v>1.07142857142857</v>
      </c>
      <c r="T146" s="3" t="n">
        <f aca="false">IF(OR(P146="None",Q146=0),0,(R146/1000)/Q146)</f>
        <v>0</v>
      </c>
      <c r="U146" s="3" t="n">
        <v>0.17</v>
      </c>
      <c r="V146" s="3" t="n">
        <f aca="false">S146+T146+U146</f>
        <v>1.24142857142857</v>
      </c>
      <c r="W146" s="3" t="n">
        <f aca="false">1/V146</f>
        <v>0.805523590333717</v>
      </c>
      <c r="X146" s="3" t="n">
        <f aca="false">INDEX(Shelter_Design!$R$2:$R$41,MATCH($B146,Shelter_Design!$A$2:$A$41,0))</f>
        <v>34.65</v>
      </c>
      <c r="Y146" s="3" t="n">
        <f aca="false">INDEX(Shelter_Design!$P$2:$P$41,MATCH($B146,Shelter_Design!$A$2:$A$41,0))</f>
        <v>1.75</v>
      </c>
      <c r="Z146" s="3" t="n">
        <f aca="false">INDEX(Shelter_Design!$G$2:$G$41,MATCH($B146,Shelter_Design!$A$2:$A$41,0))</f>
        <v>29.4</v>
      </c>
      <c r="AA146" s="3" t="n">
        <f aca="false">INDEX(Shelter_Design!$S$2:$S$41,MATCH($B146,Shelter_Design!$A$2:$A$41,0))</f>
        <v>0.0480769230769231</v>
      </c>
      <c r="AB146" s="3" t="n">
        <f aca="false">INDEX(Shelter_Design!$Y$2:$Y$41,MATCH($B146,Shelter_Design!$A$2:$A$41,0))</f>
        <v>2</v>
      </c>
      <c r="AC146" s="3" t="str">
        <f aca="false">INDEX(Shelter_Design!$Z$2:$Z$41,MATCH($B146,Shelter_Design!$A$2:$A$41,0))</f>
        <v>Light</v>
      </c>
      <c r="AD146" s="3" t="n">
        <f aca="false">INDEX(Shelter_Design!$AA$2:$AA$41,MATCH($B146,Shelter_Design!$A$2:$A$41,0))</f>
        <v>0.5</v>
      </c>
      <c r="AE146" s="3" t="s">
        <v>304</v>
      </c>
    </row>
    <row r="147" customFormat="false" ht="15" hidden="false" customHeight="true" outlineLevel="0" collapsed="false">
      <c r="A147" s="3" t="s">
        <v>449</v>
      </c>
      <c r="B147" s="3" t="s">
        <v>262</v>
      </c>
      <c r="C147" s="3" t="s">
        <v>252</v>
      </c>
      <c r="D147" s="3" t="s">
        <v>303</v>
      </c>
      <c r="E147" s="3" t="s">
        <v>62</v>
      </c>
      <c r="F147" s="3" t="s">
        <v>22</v>
      </c>
      <c r="G147" s="3" t="str">
        <f aca="false">E147&amp;"-"&amp;F147</f>
        <v>Guwahati-January</v>
      </c>
      <c r="H147" s="3" t="n">
        <f aca="false">INDEX(Weather_Data!$K$2:$K$73,MATCH($G147,Weather_Data!$J$2:$J$73,0))</f>
        <v>16</v>
      </c>
      <c r="I147" s="3" t="n">
        <f aca="false">INDEX(Weather_Data!$L$2:$L$73,MATCH($G147,Weather_Data!$J$2:$J$73,0))</f>
        <v>75</v>
      </c>
      <c r="J147" s="3" t="n">
        <f aca="false">INDEX(Weather_Data!$M$2:$M$73,MATCH($G147,Weather_Data!$J$2:$J$73,0))</f>
        <v>1</v>
      </c>
      <c r="K147" s="3" t="n">
        <f aca="false">INDEX(Weather_Data!$P$2:$P$73,MATCH($G147,Weather_Data!$J$2:$J$73,0))</f>
        <v>158.333333333333</v>
      </c>
      <c r="L147" s="3" t="n">
        <f aca="false">INDEX(Weather_Data!$Q$2:$Q$73,MATCH($G147,Weather_Data!$J$2:$J$73,0))</f>
        <v>15</v>
      </c>
      <c r="M147" s="3" t="str">
        <f aca="false">INDEX(Shelter_Design!$I$2:$I$41,MATCH($B147,Shelter_Design!$A$2:$A$41,0))</f>
        <v>M06</v>
      </c>
      <c r="N147" s="3" t="n">
        <f aca="false">IFERROR(INDEX(Material_Properties!$D$2:$D$21,MATCH(M147,Material_Properties!$A$2:$A$21,0)),1)</f>
        <v>0.14</v>
      </c>
      <c r="O147" s="3" t="n">
        <f aca="false">INDEX(Shelter_Design!$M$2:$M$41,MATCH($B147,Shelter_Design!$A$2:$A$41,0))</f>
        <v>150</v>
      </c>
      <c r="P147" s="3" t="str">
        <f aca="false">INDEX(Shelter_Design!$L$2:$L$41,MATCH($B147,Shelter_Design!$A$2:$A$41,0))</f>
        <v>None</v>
      </c>
      <c r="Q147" s="3" t="n">
        <f aca="false">IF(P147="None",0,IFERROR(INDEX(Material_Properties!$D$2:$D$21,MATCH(P147,Material_Properties!$A$2:$A$21,0)),0))</f>
        <v>0</v>
      </c>
      <c r="R147" s="3" t="n">
        <f aca="false">INDEX(Shelter_Design!$O$2:$O$41,MATCH($B147,Shelter_Design!$A$2:$A$41,0))</f>
        <v>0</v>
      </c>
      <c r="S147" s="3" t="n">
        <f aca="false">(O147/1000)/N147</f>
        <v>1.07142857142857</v>
      </c>
      <c r="T147" s="3" t="n">
        <f aca="false">IF(OR(P147="None",Q147=0),0,(R147/1000)/Q147)</f>
        <v>0</v>
      </c>
      <c r="U147" s="3" t="n">
        <v>0.17</v>
      </c>
      <c r="V147" s="3" t="n">
        <f aca="false">S147+T147+U147</f>
        <v>1.24142857142857</v>
      </c>
      <c r="W147" s="3" t="n">
        <f aca="false">1/V147</f>
        <v>0.805523590333717</v>
      </c>
      <c r="X147" s="3" t="n">
        <f aca="false">INDEX(Shelter_Design!$R$2:$R$41,MATCH($B147,Shelter_Design!$A$2:$A$41,0))</f>
        <v>51.5</v>
      </c>
      <c r="Y147" s="3" t="n">
        <f aca="false">INDEX(Shelter_Design!$P$2:$P$41,MATCH($B147,Shelter_Design!$A$2:$A$41,0))</f>
        <v>2.5</v>
      </c>
      <c r="Z147" s="3" t="n">
        <f aca="false">INDEX(Shelter_Design!$G$2:$G$41,MATCH($B147,Shelter_Design!$A$2:$A$41,0))</f>
        <v>60</v>
      </c>
      <c r="AA147" s="3" t="n">
        <f aca="false">INDEX(Shelter_Design!$S$2:$S$41,MATCH($B147,Shelter_Design!$A$2:$A$41,0))</f>
        <v>0.0462962962962963</v>
      </c>
      <c r="AB147" s="3" t="n">
        <f aca="false">INDEX(Shelter_Design!$Y$2:$Y$41,MATCH($B147,Shelter_Design!$A$2:$A$41,0))</f>
        <v>5</v>
      </c>
      <c r="AC147" s="3" t="str">
        <f aca="false">INDEX(Shelter_Design!$Z$2:$Z$41,MATCH($B147,Shelter_Design!$A$2:$A$41,0))</f>
        <v>Light</v>
      </c>
      <c r="AD147" s="3" t="n">
        <f aca="false">INDEX(Shelter_Design!$AA$2:$AA$41,MATCH($B147,Shelter_Design!$A$2:$A$41,0))</f>
        <v>0.5</v>
      </c>
      <c r="AE147" s="3" t="s">
        <v>304</v>
      </c>
    </row>
    <row r="148" customFormat="false" ht="15" hidden="false" customHeight="true" outlineLevel="0" collapsed="false">
      <c r="A148" s="3" t="s">
        <v>450</v>
      </c>
      <c r="B148" s="3" t="s">
        <v>262</v>
      </c>
      <c r="C148" s="3" t="s">
        <v>252</v>
      </c>
      <c r="D148" s="3" t="s">
        <v>303</v>
      </c>
      <c r="E148" s="3" t="s">
        <v>62</v>
      </c>
      <c r="F148" s="3" t="s">
        <v>33</v>
      </c>
      <c r="G148" s="3" t="str">
        <f aca="false">E148&amp;"-"&amp;F148</f>
        <v>Guwahati-April</v>
      </c>
      <c r="H148" s="3" t="n">
        <f aca="false">INDEX(Weather_Data!$K$2:$K$73,MATCH($G148,Weather_Data!$J$2:$J$73,0))</f>
        <v>25</v>
      </c>
      <c r="I148" s="3" t="n">
        <f aca="false">INDEX(Weather_Data!$L$2:$L$73,MATCH($G148,Weather_Data!$J$2:$J$73,0))</f>
        <v>70</v>
      </c>
      <c r="J148" s="3" t="n">
        <f aca="false">INDEX(Weather_Data!$M$2:$M$73,MATCH($G148,Weather_Data!$J$2:$J$73,0))</f>
        <v>2</v>
      </c>
      <c r="K148" s="3" t="n">
        <f aca="false">INDEX(Weather_Data!$P$2:$P$73,MATCH($G148,Weather_Data!$J$2:$J$73,0))</f>
        <v>200</v>
      </c>
      <c r="L148" s="3" t="n">
        <f aca="false">INDEX(Weather_Data!$Q$2:$Q$73,MATCH($G148,Weather_Data!$J$2:$J$73,0))</f>
        <v>150</v>
      </c>
      <c r="M148" s="3" t="str">
        <f aca="false">INDEX(Shelter_Design!$I$2:$I$41,MATCH($B148,Shelter_Design!$A$2:$A$41,0))</f>
        <v>M06</v>
      </c>
      <c r="N148" s="3" t="n">
        <f aca="false">IFERROR(INDEX(Material_Properties!$D$2:$D$21,MATCH(M148,Material_Properties!$A$2:$A$21,0)),1)</f>
        <v>0.14</v>
      </c>
      <c r="O148" s="3" t="n">
        <f aca="false">INDEX(Shelter_Design!$M$2:$M$41,MATCH($B148,Shelter_Design!$A$2:$A$41,0))</f>
        <v>150</v>
      </c>
      <c r="P148" s="3" t="str">
        <f aca="false">INDEX(Shelter_Design!$L$2:$L$41,MATCH($B148,Shelter_Design!$A$2:$A$41,0))</f>
        <v>None</v>
      </c>
      <c r="Q148" s="3" t="n">
        <f aca="false">IF(P148="None",0,IFERROR(INDEX(Material_Properties!$D$2:$D$21,MATCH(P148,Material_Properties!$A$2:$A$21,0)),0))</f>
        <v>0</v>
      </c>
      <c r="R148" s="3" t="n">
        <f aca="false">INDEX(Shelter_Design!$O$2:$O$41,MATCH($B148,Shelter_Design!$A$2:$A$41,0))</f>
        <v>0</v>
      </c>
      <c r="S148" s="3" t="n">
        <f aca="false">(O148/1000)/N148</f>
        <v>1.07142857142857</v>
      </c>
      <c r="T148" s="3" t="n">
        <f aca="false">IF(OR(P148="None",Q148=0),0,(R148/1000)/Q148)</f>
        <v>0</v>
      </c>
      <c r="U148" s="3" t="n">
        <v>0.17</v>
      </c>
      <c r="V148" s="3" t="n">
        <f aca="false">S148+T148+U148</f>
        <v>1.24142857142857</v>
      </c>
      <c r="W148" s="3" t="n">
        <f aca="false">1/V148</f>
        <v>0.805523590333717</v>
      </c>
      <c r="X148" s="3" t="n">
        <f aca="false">INDEX(Shelter_Design!$R$2:$R$41,MATCH($B148,Shelter_Design!$A$2:$A$41,0))</f>
        <v>51.5</v>
      </c>
      <c r="Y148" s="3" t="n">
        <f aca="false">INDEX(Shelter_Design!$P$2:$P$41,MATCH($B148,Shelter_Design!$A$2:$A$41,0))</f>
        <v>2.5</v>
      </c>
      <c r="Z148" s="3" t="n">
        <f aca="false">INDEX(Shelter_Design!$G$2:$G$41,MATCH($B148,Shelter_Design!$A$2:$A$41,0))</f>
        <v>60</v>
      </c>
      <c r="AA148" s="3" t="n">
        <f aca="false">INDEX(Shelter_Design!$S$2:$S$41,MATCH($B148,Shelter_Design!$A$2:$A$41,0))</f>
        <v>0.0462962962962963</v>
      </c>
      <c r="AB148" s="3" t="n">
        <f aca="false">INDEX(Shelter_Design!$Y$2:$Y$41,MATCH($B148,Shelter_Design!$A$2:$A$41,0))</f>
        <v>5</v>
      </c>
      <c r="AC148" s="3" t="str">
        <f aca="false">INDEX(Shelter_Design!$Z$2:$Z$41,MATCH($B148,Shelter_Design!$A$2:$A$41,0))</f>
        <v>Light</v>
      </c>
      <c r="AD148" s="3" t="n">
        <f aca="false">INDEX(Shelter_Design!$AA$2:$AA$41,MATCH($B148,Shelter_Design!$A$2:$A$41,0))</f>
        <v>0.5</v>
      </c>
      <c r="AE148" s="3" t="s">
        <v>304</v>
      </c>
    </row>
    <row r="149" customFormat="false" ht="15" hidden="false" customHeight="true" outlineLevel="0" collapsed="false">
      <c r="A149" s="3" t="s">
        <v>451</v>
      </c>
      <c r="B149" s="3" t="s">
        <v>262</v>
      </c>
      <c r="C149" s="3" t="s">
        <v>252</v>
      </c>
      <c r="D149" s="3" t="s">
        <v>303</v>
      </c>
      <c r="E149" s="3" t="s">
        <v>62</v>
      </c>
      <c r="F149" s="3" t="s">
        <v>42</v>
      </c>
      <c r="G149" s="3" t="str">
        <f aca="false">E149&amp;"-"&amp;F149</f>
        <v>Guwahati-July</v>
      </c>
      <c r="H149" s="3" t="n">
        <f aca="false">INDEX(Weather_Data!$K$2:$K$73,MATCH($G149,Weather_Data!$J$2:$J$73,0))</f>
        <v>28</v>
      </c>
      <c r="I149" s="3" t="n">
        <f aca="false">INDEX(Weather_Data!$L$2:$L$73,MATCH($G149,Weather_Data!$J$2:$J$73,0))</f>
        <v>88</v>
      </c>
      <c r="J149" s="3" t="n">
        <f aca="false">INDEX(Weather_Data!$M$2:$M$73,MATCH($G149,Weather_Data!$J$2:$J$73,0))</f>
        <v>2.3</v>
      </c>
      <c r="K149" s="3" t="n">
        <f aca="false">INDEX(Weather_Data!$P$2:$P$73,MATCH($G149,Weather_Data!$J$2:$J$73,0))</f>
        <v>158.333333333333</v>
      </c>
      <c r="L149" s="3" t="n">
        <f aca="false">INDEX(Weather_Data!$Q$2:$Q$73,MATCH($G149,Weather_Data!$J$2:$J$73,0))</f>
        <v>320</v>
      </c>
      <c r="M149" s="3" t="str">
        <f aca="false">INDEX(Shelter_Design!$I$2:$I$41,MATCH($B149,Shelter_Design!$A$2:$A$41,0))</f>
        <v>M06</v>
      </c>
      <c r="N149" s="3" t="n">
        <f aca="false">IFERROR(INDEX(Material_Properties!$D$2:$D$21,MATCH(M149,Material_Properties!$A$2:$A$21,0)),1)</f>
        <v>0.14</v>
      </c>
      <c r="O149" s="3" t="n">
        <f aca="false">INDEX(Shelter_Design!$M$2:$M$41,MATCH($B149,Shelter_Design!$A$2:$A$41,0))</f>
        <v>150</v>
      </c>
      <c r="P149" s="3" t="str">
        <f aca="false">INDEX(Shelter_Design!$L$2:$L$41,MATCH($B149,Shelter_Design!$A$2:$A$41,0))</f>
        <v>None</v>
      </c>
      <c r="Q149" s="3" t="n">
        <f aca="false">IF(P149="None",0,IFERROR(INDEX(Material_Properties!$D$2:$D$21,MATCH(P149,Material_Properties!$A$2:$A$21,0)),0))</f>
        <v>0</v>
      </c>
      <c r="R149" s="3" t="n">
        <f aca="false">INDEX(Shelter_Design!$O$2:$O$41,MATCH($B149,Shelter_Design!$A$2:$A$41,0))</f>
        <v>0</v>
      </c>
      <c r="S149" s="3" t="n">
        <f aca="false">(O149/1000)/N149</f>
        <v>1.07142857142857</v>
      </c>
      <c r="T149" s="3" t="n">
        <f aca="false">IF(OR(P149="None",Q149=0),0,(R149/1000)/Q149)</f>
        <v>0</v>
      </c>
      <c r="U149" s="3" t="n">
        <v>0.17</v>
      </c>
      <c r="V149" s="3" t="n">
        <f aca="false">S149+T149+U149</f>
        <v>1.24142857142857</v>
      </c>
      <c r="W149" s="3" t="n">
        <f aca="false">1/V149</f>
        <v>0.805523590333717</v>
      </c>
      <c r="X149" s="3" t="n">
        <f aca="false">INDEX(Shelter_Design!$R$2:$R$41,MATCH($B149,Shelter_Design!$A$2:$A$41,0))</f>
        <v>51.5</v>
      </c>
      <c r="Y149" s="3" t="n">
        <f aca="false">INDEX(Shelter_Design!$P$2:$P$41,MATCH($B149,Shelter_Design!$A$2:$A$41,0))</f>
        <v>2.5</v>
      </c>
      <c r="Z149" s="3" t="n">
        <f aca="false">INDEX(Shelter_Design!$G$2:$G$41,MATCH($B149,Shelter_Design!$A$2:$A$41,0))</f>
        <v>60</v>
      </c>
      <c r="AA149" s="3" t="n">
        <f aca="false">INDEX(Shelter_Design!$S$2:$S$41,MATCH($B149,Shelter_Design!$A$2:$A$41,0))</f>
        <v>0.0462962962962963</v>
      </c>
      <c r="AB149" s="3" t="n">
        <f aca="false">INDEX(Shelter_Design!$Y$2:$Y$41,MATCH($B149,Shelter_Design!$A$2:$A$41,0))</f>
        <v>5</v>
      </c>
      <c r="AC149" s="3" t="str">
        <f aca="false">INDEX(Shelter_Design!$Z$2:$Z$41,MATCH($B149,Shelter_Design!$A$2:$A$41,0))</f>
        <v>Light</v>
      </c>
      <c r="AD149" s="3" t="n">
        <f aca="false">INDEX(Shelter_Design!$AA$2:$AA$41,MATCH($B149,Shelter_Design!$A$2:$A$41,0))</f>
        <v>0.5</v>
      </c>
      <c r="AE149" s="3" t="s">
        <v>304</v>
      </c>
    </row>
    <row r="150" customFormat="false" ht="15" hidden="false" customHeight="true" outlineLevel="0" collapsed="false">
      <c r="A150" s="3" t="s">
        <v>452</v>
      </c>
      <c r="B150" s="3" t="s">
        <v>262</v>
      </c>
      <c r="C150" s="3" t="s">
        <v>252</v>
      </c>
      <c r="D150" s="3" t="s">
        <v>303</v>
      </c>
      <c r="E150" s="3" t="s">
        <v>62</v>
      </c>
      <c r="F150" s="3" t="s">
        <v>46</v>
      </c>
      <c r="G150" s="3" t="str">
        <f aca="false">E150&amp;"-"&amp;F150</f>
        <v>Guwahati-September</v>
      </c>
      <c r="H150" s="3" t="n">
        <f aca="false">INDEX(Weather_Data!$K$2:$K$73,MATCH($G150,Weather_Data!$J$2:$J$73,0))</f>
        <v>28</v>
      </c>
      <c r="I150" s="3" t="n">
        <f aca="false">INDEX(Weather_Data!$L$2:$L$73,MATCH($G150,Weather_Data!$J$2:$J$73,0))</f>
        <v>85</v>
      </c>
      <c r="J150" s="3" t="n">
        <f aca="false">INDEX(Weather_Data!$M$2:$M$73,MATCH($G150,Weather_Data!$J$2:$J$73,0))</f>
        <v>1.8</v>
      </c>
      <c r="K150" s="3" t="n">
        <f aca="false">INDEX(Weather_Data!$P$2:$P$73,MATCH($G150,Weather_Data!$J$2:$J$73,0))</f>
        <v>166.666666666667</v>
      </c>
      <c r="L150" s="3" t="n">
        <f aca="false">INDEX(Weather_Data!$Q$2:$Q$73,MATCH($G150,Weather_Data!$J$2:$J$73,0))</f>
        <v>220</v>
      </c>
      <c r="M150" s="3" t="str">
        <f aca="false">INDEX(Shelter_Design!$I$2:$I$41,MATCH($B150,Shelter_Design!$A$2:$A$41,0))</f>
        <v>M06</v>
      </c>
      <c r="N150" s="3" t="n">
        <f aca="false">IFERROR(INDEX(Material_Properties!$D$2:$D$21,MATCH(M150,Material_Properties!$A$2:$A$21,0)),1)</f>
        <v>0.14</v>
      </c>
      <c r="O150" s="3" t="n">
        <f aca="false">INDEX(Shelter_Design!$M$2:$M$41,MATCH($B150,Shelter_Design!$A$2:$A$41,0))</f>
        <v>150</v>
      </c>
      <c r="P150" s="3" t="str">
        <f aca="false">INDEX(Shelter_Design!$L$2:$L$41,MATCH($B150,Shelter_Design!$A$2:$A$41,0))</f>
        <v>None</v>
      </c>
      <c r="Q150" s="3" t="n">
        <f aca="false">IF(P150="None",0,IFERROR(INDEX(Material_Properties!$D$2:$D$21,MATCH(P150,Material_Properties!$A$2:$A$21,0)),0))</f>
        <v>0</v>
      </c>
      <c r="R150" s="3" t="n">
        <f aca="false">INDEX(Shelter_Design!$O$2:$O$41,MATCH($B150,Shelter_Design!$A$2:$A$41,0))</f>
        <v>0</v>
      </c>
      <c r="S150" s="3" t="n">
        <f aca="false">(O150/1000)/N150</f>
        <v>1.07142857142857</v>
      </c>
      <c r="T150" s="3" t="n">
        <f aca="false">IF(OR(P150="None",Q150=0),0,(R150/1000)/Q150)</f>
        <v>0</v>
      </c>
      <c r="U150" s="3" t="n">
        <v>0.17</v>
      </c>
      <c r="V150" s="3" t="n">
        <f aca="false">S150+T150+U150</f>
        <v>1.24142857142857</v>
      </c>
      <c r="W150" s="3" t="n">
        <f aca="false">1/V150</f>
        <v>0.805523590333717</v>
      </c>
      <c r="X150" s="3" t="n">
        <f aca="false">INDEX(Shelter_Design!$R$2:$R$41,MATCH($B150,Shelter_Design!$A$2:$A$41,0))</f>
        <v>51.5</v>
      </c>
      <c r="Y150" s="3" t="n">
        <f aca="false">INDEX(Shelter_Design!$P$2:$P$41,MATCH($B150,Shelter_Design!$A$2:$A$41,0))</f>
        <v>2.5</v>
      </c>
      <c r="Z150" s="3" t="n">
        <f aca="false">INDEX(Shelter_Design!$G$2:$G$41,MATCH($B150,Shelter_Design!$A$2:$A$41,0))</f>
        <v>60</v>
      </c>
      <c r="AA150" s="3" t="n">
        <f aca="false">INDEX(Shelter_Design!$S$2:$S$41,MATCH($B150,Shelter_Design!$A$2:$A$41,0))</f>
        <v>0.0462962962962963</v>
      </c>
      <c r="AB150" s="3" t="n">
        <f aca="false">INDEX(Shelter_Design!$Y$2:$Y$41,MATCH($B150,Shelter_Design!$A$2:$A$41,0))</f>
        <v>5</v>
      </c>
      <c r="AC150" s="3" t="str">
        <f aca="false">INDEX(Shelter_Design!$Z$2:$Z$41,MATCH($B150,Shelter_Design!$A$2:$A$41,0))</f>
        <v>Light</v>
      </c>
      <c r="AD150" s="3" t="n">
        <f aca="false">INDEX(Shelter_Design!$AA$2:$AA$41,MATCH($B150,Shelter_Design!$A$2:$A$41,0))</f>
        <v>0.5</v>
      </c>
      <c r="AE150" s="3" t="s">
        <v>304</v>
      </c>
    </row>
    <row r="151" customFormat="false" ht="15" hidden="false" customHeight="true" outlineLevel="0" collapsed="false">
      <c r="A151" s="3" t="s">
        <v>453</v>
      </c>
      <c r="B151" s="3" t="s">
        <v>262</v>
      </c>
      <c r="C151" s="3" t="s">
        <v>252</v>
      </c>
      <c r="D151" s="3" t="s">
        <v>303</v>
      </c>
      <c r="E151" s="3" t="s">
        <v>62</v>
      </c>
      <c r="F151" s="3" t="s">
        <v>51</v>
      </c>
      <c r="G151" s="3" t="str">
        <f aca="false">E151&amp;"-"&amp;F151</f>
        <v>Guwahati-November</v>
      </c>
      <c r="H151" s="3" t="n">
        <f aca="false">INDEX(Weather_Data!$K$2:$K$73,MATCH($G151,Weather_Data!$J$2:$J$73,0))</f>
        <v>20</v>
      </c>
      <c r="I151" s="3" t="n">
        <f aca="false">INDEX(Weather_Data!$L$2:$L$73,MATCH($G151,Weather_Data!$J$2:$J$73,0))</f>
        <v>78</v>
      </c>
      <c r="J151" s="3" t="n">
        <f aca="false">INDEX(Weather_Data!$M$2:$M$73,MATCH($G151,Weather_Data!$J$2:$J$73,0))</f>
        <v>1.2</v>
      </c>
      <c r="K151" s="3" t="n">
        <f aca="false">INDEX(Weather_Data!$P$2:$P$73,MATCH($G151,Weather_Data!$J$2:$J$73,0))</f>
        <v>158.333333333333</v>
      </c>
      <c r="L151" s="3" t="n">
        <f aca="false">INDEX(Weather_Data!$Q$2:$Q$73,MATCH($G151,Weather_Data!$J$2:$J$73,0))</f>
        <v>25</v>
      </c>
      <c r="M151" s="3" t="str">
        <f aca="false">INDEX(Shelter_Design!$I$2:$I$41,MATCH($B151,Shelter_Design!$A$2:$A$41,0))</f>
        <v>M06</v>
      </c>
      <c r="N151" s="3" t="n">
        <f aca="false">IFERROR(INDEX(Material_Properties!$D$2:$D$21,MATCH(M151,Material_Properties!$A$2:$A$21,0)),1)</f>
        <v>0.14</v>
      </c>
      <c r="O151" s="3" t="n">
        <f aca="false">INDEX(Shelter_Design!$M$2:$M$41,MATCH($B151,Shelter_Design!$A$2:$A$41,0))</f>
        <v>150</v>
      </c>
      <c r="P151" s="3" t="str">
        <f aca="false">INDEX(Shelter_Design!$L$2:$L$41,MATCH($B151,Shelter_Design!$A$2:$A$41,0))</f>
        <v>None</v>
      </c>
      <c r="Q151" s="3" t="n">
        <f aca="false">IF(P151="None",0,IFERROR(INDEX(Material_Properties!$D$2:$D$21,MATCH(P151,Material_Properties!$A$2:$A$21,0)),0))</f>
        <v>0</v>
      </c>
      <c r="R151" s="3" t="n">
        <f aca="false">INDEX(Shelter_Design!$O$2:$O$41,MATCH($B151,Shelter_Design!$A$2:$A$41,0))</f>
        <v>0</v>
      </c>
      <c r="S151" s="3" t="n">
        <f aca="false">(O151/1000)/N151</f>
        <v>1.07142857142857</v>
      </c>
      <c r="T151" s="3" t="n">
        <f aca="false">IF(OR(P151="None",Q151=0),0,(R151/1000)/Q151)</f>
        <v>0</v>
      </c>
      <c r="U151" s="3" t="n">
        <v>0.17</v>
      </c>
      <c r="V151" s="3" t="n">
        <f aca="false">S151+T151+U151</f>
        <v>1.24142857142857</v>
      </c>
      <c r="W151" s="3" t="n">
        <f aca="false">1/V151</f>
        <v>0.805523590333717</v>
      </c>
      <c r="X151" s="3" t="n">
        <f aca="false">INDEX(Shelter_Design!$R$2:$R$41,MATCH($B151,Shelter_Design!$A$2:$A$41,0))</f>
        <v>51.5</v>
      </c>
      <c r="Y151" s="3" t="n">
        <f aca="false">INDEX(Shelter_Design!$P$2:$P$41,MATCH($B151,Shelter_Design!$A$2:$A$41,0))</f>
        <v>2.5</v>
      </c>
      <c r="Z151" s="3" t="n">
        <f aca="false">INDEX(Shelter_Design!$G$2:$G$41,MATCH($B151,Shelter_Design!$A$2:$A$41,0))</f>
        <v>60</v>
      </c>
      <c r="AA151" s="3" t="n">
        <f aca="false">INDEX(Shelter_Design!$S$2:$S$41,MATCH($B151,Shelter_Design!$A$2:$A$41,0))</f>
        <v>0.0462962962962963</v>
      </c>
      <c r="AB151" s="3" t="n">
        <f aca="false">INDEX(Shelter_Design!$Y$2:$Y$41,MATCH($B151,Shelter_Design!$A$2:$A$41,0))</f>
        <v>5</v>
      </c>
      <c r="AC151" s="3" t="str">
        <f aca="false">INDEX(Shelter_Design!$Z$2:$Z$41,MATCH($B151,Shelter_Design!$A$2:$A$41,0))</f>
        <v>Light</v>
      </c>
      <c r="AD151" s="3" t="n">
        <f aca="false">INDEX(Shelter_Design!$AA$2:$AA$41,MATCH($B151,Shelter_Design!$A$2:$A$41,0))</f>
        <v>0.5</v>
      </c>
      <c r="AE151" s="3" t="s">
        <v>304</v>
      </c>
    </row>
    <row r="152" customFormat="false" ht="15" hidden="false" customHeight="true" outlineLevel="0" collapsed="false">
      <c r="A152" s="3" t="s">
        <v>454</v>
      </c>
      <c r="B152" s="3" t="s">
        <v>263</v>
      </c>
      <c r="C152" s="3" t="s">
        <v>252</v>
      </c>
      <c r="D152" s="3" t="s">
        <v>303</v>
      </c>
      <c r="E152" s="3" t="s">
        <v>62</v>
      </c>
      <c r="F152" s="3" t="s">
        <v>22</v>
      </c>
      <c r="G152" s="3" t="str">
        <f aca="false">E152&amp;"-"&amp;F152</f>
        <v>Guwahati-January</v>
      </c>
      <c r="H152" s="3" t="n">
        <f aca="false">INDEX(Weather_Data!$K$2:$K$73,MATCH($G152,Weather_Data!$J$2:$J$73,0))</f>
        <v>16</v>
      </c>
      <c r="I152" s="3" t="n">
        <f aca="false">INDEX(Weather_Data!$L$2:$L$73,MATCH($G152,Weather_Data!$J$2:$J$73,0))</f>
        <v>75</v>
      </c>
      <c r="J152" s="3" t="n">
        <f aca="false">INDEX(Weather_Data!$M$2:$M$73,MATCH($G152,Weather_Data!$J$2:$J$73,0))</f>
        <v>1</v>
      </c>
      <c r="K152" s="3" t="n">
        <f aca="false">INDEX(Weather_Data!$P$2:$P$73,MATCH($G152,Weather_Data!$J$2:$J$73,0))</f>
        <v>158.333333333333</v>
      </c>
      <c r="L152" s="3" t="n">
        <f aca="false">INDEX(Weather_Data!$Q$2:$Q$73,MATCH($G152,Weather_Data!$J$2:$J$73,0))</f>
        <v>15</v>
      </c>
      <c r="M152" s="3" t="str">
        <f aca="false">INDEX(Shelter_Design!$I$2:$I$41,MATCH($B152,Shelter_Design!$A$2:$A$41,0))</f>
        <v>M06</v>
      </c>
      <c r="N152" s="3" t="n">
        <f aca="false">IFERROR(INDEX(Material_Properties!$D$2:$D$21,MATCH(M152,Material_Properties!$A$2:$A$21,0)),1)</f>
        <v>0.14</v>
      </c>
      <c r="O152" s="3" t="n">
        <f aca="false">INDEX(Shelter_Design!$M$2:$M$41,MATCH($B152,Shelter_Design!$A$2:$A$41,0))</f>
        <v>150</v>
      </c>
      <c r="P152" s="3" t="str">
        <f aca="false">INDEX(Shelter_Design!$L$2:$L$41,MATCH($B152,Shelter_Design!$A$2:$A$41,0))</f>
        <v>None</v>
      </c>
      <c r="Q152" s="3" t="n">
        <f aca="false">IF(P152="None",0,IFERROR(INDEX(Material_Properties!$D$2:$D$21,MATCH(P152,Material_Properties!$A$2:$A$21,0)),0))</f>
        <v>0</v>
      </c>
      <c r="R152" s="3" t="n">
        <f aca="false">INDEX(Shelter_Design!$O$2:$O$41,MATCH($B152,Shelter_Design!$A$2:$A$41,0))</f>
        <v>0</v>
      </c>
      <c r="S152" s="3" t="n">
        <f aca="false">(O152/1000)/N152</f>
        <v>1.07142857142857</v>
      </c>
      <c r="T152" s="3" t="n">
        <f aca="false">IF(OR(P152="None",Q152=0),0,(R152/1000)/Q152)</f>
        <v>0</v>
      </c>
      <c r="U152" s="3" t="n">
        <v>0.17</v>
      </c>
      <c r="V152" s="3" t="n">
        <f aca="false">S152+T152+U152</f>
        <v>1.24142857142857</v>
      </c>
      <c r="W152" s="3" t="n">
        <f aca="false">1/V152</f>
        <v>0.805523590333717</v>
      </c>
      <c r="X152" s="3" t="n">
        <f aca="false">INDEX(Shelter_Design!$R$2:$R$41,MATCH($B152,Shelter_Design!$A$2:$A$41,0))</f>
        <v>33.95</v>
      </c>
      <c r="Y152" s="3" t="n">
        <f aca="false">INDEX(Shelter_Design!$P$2:$P$41,MATCH($B152,Shelter_Design!$A$2:$A$41,0))</f>
        <v>2.45</v>
      </c>
      <c r="Z152" s="3" t="n">
        <f aca="false">INDEX(Shelter_Design!$G$2:$G$41,MATCH($B152,Shelter_Design!$A$2:$A$41,0))</f>
        <v>29.4</v>
      </c>
      <c r="AA152" s="3" t="n">
        <f aca="false">INDEX(Shelter_Design!$S$2:$S$41,MATCH($B152,Shelter_Design!$A$2:$A$41,0))</f>
        <v>0.0673076923076923</v>
      </c>
      <c r="AB152" s="3" t="n">
        <f aca="false">INDEX(Shelter_Design!$Y$2:$Y$41,MATCH($B152,Shelter_Design!$A$2:$A$41,0))</f>
        <v>2</v>
      </c>
      <c r="AC152" s="3" t="str">
        <f aca="false">INDEX(Shelter_Design!$Z$2:$Z$41,MATCH($B152,Shelter_Design!$A$2:$A$41,0))</f>
        <v>Light</v>
      </c>
      <c r="AD152" s="3" t="n">
        <f aca="false">INDEX(Shelter_Design!$AA$2:$AA$41,MATCH($B152,Shelter_Design!$A$2:$A$41,0))</f>
        <v>0.5</v>
      </c>
      <c r="AE152" s="3" t="s">
        <v>304</v>
      </c>
    </row>
    <row r="153" customFormat="false" ht="15" hidden="false" customHeight="true" outlineLevel="0" collapsed="false">
      <c r="A153" s="3" t="s">
        <v>455</v>
      </c>
      <c r="B153" s="3" t="s">
        <v>263</v>
      </c>
      <c r="C153" s="3" t="s">
        <v>252</v>
      </c>
      <c r="D153" s="3" t="s">
        <v>303</v>
      </c>
      <c r="E153" s="3" t="s">
        <v>62</v>
      </c>
      <c r="F153" s="3" t="s">
        <v>33</v>
      </c>
      <c r="G153" s="3" t="str">
        <f aca="false">E153&amp;"-"&amp;F153</f>
        <v>Guwahati-April</v>
      </c>
      <c r="H153" s="3" t="n">
        <f aca="false">INDEX(Weather_Data!$K$2:$K$73,MATCH($G153,Weather_Data!$J$2:$J$73,0))</f>
        <v>25</v>
      </c>
      <c r="I153" s="3" t="n">
        <f aca="false">INDEX(Weather_Data!$L$2:$L$73,MATCH($G153,Weather_Data!$J$2:$J$73,0))</f>
        <v>70</v>
      </c>
      <c r="J153" s="3" t="n">
        <f aca="false">INDEX(Weather_Data!$M$2:$M$73,MATCH($G153,Weather_Data!$J$2:$J$73,0))</f>
        <v>2</v>
      </c>
      <c r="K153" s="3" t="n">
        <f aca="false">INDEX(Weather_Data!$P$2:$P$73,MATCH($G153,Weather_Data!$J$2:$J$73,0))</f>
        <v>200</v>
      </c>
      <c r="L153" s="3" t="n">
        <f aca="false">INDEX(Weather_Data!$Q$2:$Q$73,MATCH($G153,Weather_Data!$J$2:$J$73,0))</f>
        <v>150</v>
      </c>
      <c r="M153" s="3" t="str">
        <f aca="false">INDEX(Shelter_Design!$I$2:$I$41,MATCH($B153,Shelter_Design!$A$2:$A$41,0))</f>
        <v>M06</v>
      </c>
      <c r="N153" s="3" t="n">
        <f aca="false">IFERROR(INDEX(Material_Properties!$D$2:$D$21,MATCH(M153,Material_Properties!$A$2:$A$21,0)),1)</f>
        <v>0.14</v>
      </c>
      <c r="O153" s="3" t="n">
        <f aca="false">INDEX(Shelter_Design!$M$2:$M$41,MATCH($B153,Shelter_Design!$A$2:$A$41,0))</f>
        <v>150</v>
      </c>
      <c r="P153" s="3" t="str">
        <f aca="false">INDEX(Shelter_Design!$L$2:$L$41,MATCH($B153,Shelter_Design!$A$2:$A$41,0))</f>
        <v>None</v>
      </c>
      <c r="Q153" s="3" t="n">
        <f aca="false">IF(P153="None",0,IFERROR(INDEX(Material_Properties!$D$2:$D$21,MATCH(P153,Material_Properties!$A$2:$A$21,0)),0))</f>
        <v>0</v>
      </c>
      <c r="R153" s="3" t="n">
        <f aca="false">INDEX(Shelter_Design!$O$2:$O$41,MATCH($B153,Shelter_Design!$A$2:$A$41,0))</f>
        <v>0</v>
      </c>
      <c r="S153" s="3" t="n">
        <f aca="false">(O153/1000)/N153</f>
        <v>1.07142857142857</v>
      </c>
      <c r="T153" s="3" t="n">
        <f aca="false">IF(OR(P153="None",Q153=0),0,(R153/1000)/Q153)</f>
        <v>0</v>
      </c>
      <c r="U153" s="3" t="n">
        <v>0.17</v>
      </c>
      <c r="V153" s="3" t="n">
        <f aca="false">S153+T153+U153</f>
        <v>1.24142857142857</v>
      </c>
      <c r="W153" s="3" t="n">
        <f aca="false">1/V153</f>
        <v>0.805523590333717</v>
      </c>
      <c r="X153" s="3" t="n">
        <f aca="false">INDEX(Shelter_Design!$R$2:$R$41,MATCH($B153,Shelter_Design!$A$2:$A$41,0))</f>
        <v>33.95</v>
      </c>
      <c r="Y153" s="3" t="n">
        <f aca="false">INDEX(Shelter_Design!$P$2:$P$41,MATCH($B153,Shelter_Design!$A$2:$A$41,0))</f>
        <v>2.45</v>
      </c>
      <c r="Z153" s="3" t="n">
        <f aca="false">INDEX(Shelter_Design!$G$2:$G$41,MATCH($B153,Shelter_Design!$A$2:$A$41,0))</f>
        <v>29.4</v>
      </c>
      <c r="AA153" s="3" t="n">
        <f aca="false">INDEX(Shelter_Design!$S$2:$S$41,MATCH($B153,Shelter_Design!$A$2:$A$41,0))</f>
        <v>0.0673076923076923</v>
      </c>
      <c r="AB153" s="3" t="n">
        <f aca="false">INDEX(Shelter_Design!$Y$2:$Y$41,MATCH($B153,Shelter_Design!$A$2:$A$41,0))</f>
        <v>2</v>
      </c>
      <c r="AC153" s="3" t="str">
        <f aca="false">INDEX(Shelter_Design!$Z$2:$Z$41,MATCH($B153,Shelter_Design!$A$2:$A$41,0))</f>
        <v>Light</v>
      </c>
      <c r="AD153" s="3" t="n">
        <f aca="false">INDEX(Shelter_Design!$AA$2:$AA$41,MATCH($B153,Shelter_Design!$A$2:$A$41,0))</f>
        <v>0.5</v>
      </c>
      <c r="AE153" s="3" t="s">
        <v>304</v>
      </c>
    </row>
    <row r="154" customFormat="false" ht="15" hidden="false" customHeight="true" outlineLevel="0" collapsed="false">
      <c r="A154" s="3" t="s">
        <v>456</v>
      </c>
      <c r="B154" s="3" t="s">
        <v>263</v>
      </c>
      <c r="C154" s="3" t="s">
        <v>252</v>
      </c>
      <c r="D154" s="3" t="s">
        <v>303</v>
      </c>
      <c r="E154" s="3" t="s">
        <v>62</v>
      </c>
      <c r="F154" s="3" t="s">
        <v>42</v>
      </c>
      <c r="G154" s="3" t="str">
        <f aca="false">E154&amp;"-"&amp;F154</f>
        <v>Guwahati-July</v>
      </c>
      <c r="H154" s="3" t="n">
        <f aca="false">INDEX(Weather_Data!$K$2:$K$73,MATCH($G154,Weather_Data!$J$2:$J$73,0))</f>
        <v>28</v>
      </c>
      <c r="I154" s="3" t="n">
        <f aca="false">INDEX(Weather_Data!$L$2:$L$73,MATCH($G154,Weather_Data!$J$2:$J$73,0))</f>
        <v>88</v>
      </c>
      <c r="J154" s="3" t="n">
        <f aca="false">INDEX(Weather_Data!$M$2:$M$73,MATCH($G154,Weather_Data!$J$2:$J$73,0))</f>
        <v>2.3</v>
      </c>
      <c r="K154" s="3" t="n">
        <f aca="false">INDEX(Weather_Data!$P$2:$P$73,MATCH($G154,Weather_Data!$J$2:$J$73,0))</f>
        <v>158.333333333333</v>
      </c>
      <c r="L154" s="3" t="n">
        <f aca="false">INDEX(Weather_Data!$Q$2:$Q$73,MATCH($G154,Weather_Data!$J$2:$J$73,0))</f>
        <v>320</v>
      </c>
      <c r="M154" s="3" t="str">
        <f aca="false">INDEX(Shelter_Design!$I$2:$I$41,MATCH($B154,Shelter_Design!$A$2:$A$41,0))</f>
        <v>M06</v>
      </c>
      <c r="N154" s="3" t="n">
        <f aca="false">IFERROR(INDEX(Material_Properties!$D$2:$D$21,MATCH(M154,Material_Properties!$A$2:$A$21,0)),1)</f>
        <v>0.14</v>
      </c>
      <c r="O154" s="3" t="n">
        <f aca="false">INDEX(Shelter_Design!$M$2:$M$41,MATCH($B154,Shelter_Design!$A$2:$A$41,0))</f>
        <v>150</v>
      </c>
      <c r="P154" s="3" t="str">
        <f aca="false">INDEX(Shelter_Design!$L$2:$L$41,MATCH($B154,Shelter_Design!$A$2:$A$41,0))</f>
        <v>None</v>
      </c>
      <c r="Q154" s="3" t="n">
        <f aca="false">IF(P154="None",0,IFERROR(INDEX(Material_Properties!$D$2:$D$21,MATCH(P154,Material_Properties!$A$2:$A$21,0)),0))</f>
        <v>0</v>
      </c>
      <c r="R154" s="3" t="n">
        <f aca="false">INDEX(Shelter_Design!$O$2:$O$41,MATCH($B154,Shelter_Design!$A$2:$A$41,0))</f>
        <v>0</v>
      </c>
      <c r="S154" s="3" t="n">
        <f aca="false">(O154/1000)/N154</f>
        <v>1.07142857142857</v>
      </c>
      <c r="T154" s="3" t="n">
        <f aca="false">IF(OR(P154="None",Q154=0),0,(R154/1000)/Q154)</f>
        <v>0</v>
      </c>
      <c r="U154" s="3" t="n">
        <v>0.17</v>
      </c>
      <c r="V154" s="3" t="n">
        <f aca="false">S154+T154+U154</f>
        <v>1.24142857142857</v>
      </c>
      <c r="W154" s="3" t="n">
        <f aca="false">1/V154</f>
        <v>0.805523590333717</v>
      </c>
      <c r="X154" s="3" t="n">
        <f aca="false">INDEX(Shelter_Design!$R$2:$R$41,MATCH($B154,Shelter_Design!$A$2:$A$41,0))</f>
        <v>33.95</v>
      </c>
      <c r="Y154" s="3" t="n">
        <f aca="false">INDEX(Shelter_Design!$P$2:$P$41,MATCH($B154,Shelter_Design!$A$2:$A$41,0))</f>
        <v>2.45</v>
      </c>
      <c r="Z154" s="3" t="n">
        <f aca="false">INDEX(Shelter_Design!$G$2:$G$41,MATCH($B154,Shelter_Design!$A$2:$A$41,0))</f>
        <v>29.4</v>
      </c>
      <c r="AA154" s="3" t="n">
        <f aca="false">INDEX(Shelter_Design!$S$2:$S$41,MATCH($B154,Shelter_Design!$A$2:$A$41,0))</f>
        <v>0.0673076923076923</v>
      </c>
      <c r="AB154" s="3" t="n">
        <f aca="false">INDEX(Shelter_Design!$Y$2:$Y$41,MATCH($B154,Shelter_Design!$A$2:$A$41,0))</f>
        <v>2</v>
      </c>
      <c r="AC154" s="3" t="str">
        <f aca="false">INDEX(Shelter_Design!$Z$2:$Z$41,MATCH($B154,Shelter_Design!$A$2:$A$41,0))</f>
        <v>Light</v>
      </c>
      <c r="AD154" s="3" t="n">
        <f aca="false">INDEX(Shelter_Design!$AA$2:$AA$41,MATCH($B154,Shelter_Design!$A$2:$A$41,0))</f>
        <v>0.5</v>
      </c>
      <c r="AE154" s="3" t="s">
        <v>304</v>
      </c>
    </row>
    <row r="155" customFormat="false" ht="15" hidden="false" customHeight="true" outlineLevel="0" collapsed="false">
      <c r="A155" s="3" t="s">
        <v>457</v>
      </c>
      <c r="B155" s="3" t="s">
        <v>263</v>
      </c>
      <c r="C155" s="3" t="s">
        <v>252</v>
      </c>
      <c r="D155" s="3" t="s">
        <v>303</v>
      </c>
      <c r="E155" s="3" t="s">
        <v>62</v>
      </c>
      <c r="F155" s="3" t="s">
        <v>46</v>
      </c>
      <c r="G155" s="3" t="str">
        <f aca="false">E155&amp;"-"&amp;F155</f>
        <v>Guwahati-September</v>
      </c>
      <c r="H155" s="3" t="n">
        <f aca="false">INDEX(Weather_Data!$K$2:$K$73,MATCH($G155,Weather_Data!$J$2:$J$73,0))</f>
        <v>28</v>
      </c>
      <c r="I155" s="3" t="n">
        <f aca="false">INDEX(Weather_Data!$L$2:$L$73,MATCH($G155,Weather_Data!$J$2:$J$73,0))</f>
        <v>85</v>
      </c>
      <c r="J155" s="3" t="n">
        <f aca="false">INDEX(Weather_Data!$M$2:$M$73,MATCH($G155,Weather_Data!$J$2:$J$73,0))</f>
        <v>1.8</v>
      </c>
      <c r="K155" s="3" t="n">
        <f aca="false">INDEX(Weather_Data!$P$2:$P$73,MATCH($G155,Weather_Data!$J$2:$J$73,0))</f>
        <v>166.666666666667</v>
      </c>
      <c r="L155" s="3" t="n">
        <f aca="false">INDEX(Weather_Data!$Q$2:$Q$73,MATCH($G155,Weather_Data!$J$2:$J$73,0))</f>
        <v>220</v>
      </c>
      <c r="M155" s="3" t="str">
        <f aca="false">INDEX(Shelter_Design!$I$2:$I$41,MATCH($B155,Shelter_Design!$A$2:$A$41,0))</f>
        <v>M06</v>
      </c>
      <c r="N155" s="3" t="n">
        <f aca="false">IFERROR(INDEX(Material_Properties!$D$2:$D$21,MATCH(M155,Material_Properties!$A$2:$A$21,0)),1)</f>
        <v>0.14</v>
      </c>
      <c r="O155" s="3" t="n">
        <f aca="false">INDEX(Shelter_Design!$M$2:$M$41,MATCH($B155,Shelter_Design!$A$2:$A$41,0))</f>
        <v>150</v>
      </c>
      <c r="P155" s="3" t="str">
        <f aca="false">INDEX(Shelter_Design!$L$2:$L$41,MATCH($B155,Shelter_Design!$A$2:$A$41,0))</f>
        <v>None</v>
      </c>
      <c r="Q155" s="3" t="n">
        <f aca="false">IF(P155="None",0,IFERROR(INDEX(Material_Properties!$D$2:$D$21,MATCH(P155,Material_Properties!$A$2:$A$21,0)),0))</f>
        <v>0</v>
      </c>
      <c r="R155" s="3" t="n">
        <f aca="false">INDEX(Shelter_Design!$O$2:$O$41,MATCH($B155,Shelter_Design!$A$2:$A$41,0))</f>
        <v>0</v>
      </c>
      <c r="S155" s="3" t="n">
        <f aca="false">(O155/1000)/N155</f>
        <v>1.07142857142857</v>
      </c>
      <c r="T155" s="3" t="n">
        <f aca="false">IF(OR(P155="None",Q155=0),0,(R155/1000)/Q155)</f>
        <v>0</v>
      </c>
      <c r="U155" s="3" t="n">
        <v>0.17</v>
      </c>
      <c r="V155" s="3" t="n">
        <f aca="false">S155+T155+U155</f>
        <v>1.24142857142857</v>
      </c>
      <c r="W155" s="3" t="n">
        <f aca="false">1/V155</f>
        <v>0.805523590333717</v>
      </c>
      <c r="X155" s="3" t="n">
        <f aca="false">INDEX(Shelter_Design!$R$2:$R$41,MATCH($B155,Shelter_Design!$A$2:$A$41,0))</f>
        <v>33.95</v>
      </c>
      <c r="Y155" s="3" t="n">
        <f aca="false">INDEX(Shelter_Design!$P$2:$P$41,MATCH($B155,Shelter_Design!$A$2:$A$41,0))</f>
        <v>2.45</v>
      </c>
      <c r="Z155" s="3" t="n">
        <f aca="false">INDEX(Shelter_Design!$G$2:$G$41,MATCH($B155,Shelter_Design!$A$2:$A$41,0))</f>
        <v>29.4</v>
      </c>
      <c r="AA155" s="3" t="n">
        <f aca="false">INDEX(Shelter_Design!$S$2:$S$41,MATCH($B155,Shelter_Design!$A$2:$A$41,0))</f>
        <v>0.0673076923076923</v>
      </c>
      <c r="AB155" s="3" t="n">
        <f aca="false">INDEX(Shelter_Design!$Y$2:$Y$41,MATCH($B155,Shelter_Design!$A$2:$A$41,0))</f>
        <v>2</v>
      </c>
      <c r="AC155" s="3" t="str">
        <f aca="false">INDEX(Shelter_Design!$Z$2:$Z$41,MATCH($B155,Shelter_Design!$A$2:$A$41,0))</f>
        <v>Light</v>
      </c>
      <c r="AD155" s="3" t="n">
        <f aca="false">INDEX(Shelter_Design!$AA$2:$AA$41,MATCH($B155,Shelter_Design!$A$2:$A$41,0))</f>
        <v>0.5</v>
      </c>
      <c r="AE155" s="3" t="s">
        <v>304</v>
      </c>
    </row>
    <row r="156" customFormat="false" ht="15" hidden="false" customHeight="true" outlineLevel="0" collapsed="false">
      <c r="A156" s="3" t="s">
        <v>458</v>
      </c>
      <c r="B156" s="3" t="s">
        <v>263</v>
      </c>
      <c r="C156" s="3" t="s">
        <v>252</v>
      </c>
      <c r="D156" s="3" t="s">
        <v>303</v>
      </c>
      <c r="E156" s="3" t="s">
        <v>62</v>
      </c>
      <c r="F156" s="3" t="s">
        <v>51</v>
      </c>
      <c r="G156" s="3" t="str">
        <f aca="false">E156&amp;"-"&amp;F156</f>
        <v>Guwahati-November</v>
      </c>
      <c r="H156" s="3" t="n">
        <f aca="false">INDEX(Weather_Data!$K$2:$K$73,MATCH($G156,Weather_Data!$J$2:$J$73,0))</f>
        <v>20</v>
      </c>
      <c r="I156" s="3" t="n">
        <f aca="false">INDEX(Weather_Data!$L$2:$L$73,MATCH($G156,Weather_Data!$J$2:$J$73,0))</f>
        <v>78</v>
      </c>
      <c r="J156" s="3" t="n">
        <f aca="false">INDEX(Weather_Data!$M$2:$M$73,MATCH($G156,Weather_Data!$J$2:$J$73,0))</f>
        <v>1.2</v>
      </c>
      <c r="K156" s="3" t="n">
        <f aca="false">INDEX(Weather_Data!$P$2:$P$73,MATCH($G156,Weather_Data!$J$2:$J$73,0))</f>
        <v>158.333333333333</v>
      </c>
      <c r="L156" s="3" t="n">
        <f aca="false">INDEX(Weather_Data!$Q$2:$Q$73,MATCH($G156,Weather_Data!$J$2:$J$73,0))</f>
        <v>25</v>
      </c>
      <c r="M156" s="3" t="str">
        <f aca="false">INDEX(Shelter_Design!$I$2:$I$41,MATCH($B156,Shelter_Design!$A$2:$A$41,0))</f>
        <v>M06</v>
      </c>
      <c r="N156" s="3" t="n">
        <f aca="false">IFERROR(INDEX(Material_Properties!$D$2:$D$21,MATCH(M156,Material_Properties!$A$2:$A$21,0)),1)</f>
        <v>0.14</v>
      </c>
      <c r="O156" s="3" t="n">
        <f aca="false">INDEX(Shelter_Design!$M$2:$M$41,MATCH($B156,Shelter_Design!$A$2:$A$41,0))</f>
        <v>150</v>
      </c>
      <c r="P156" s="3" t="str">
        <f aca="false">INDEX(Shelter_Design!$L$2:$L$41,MATCH($B156,Shelter_Design!$A$2:$A$41,0))</f>
        <v>None</v>
      </c>
      <c r="Q156" s="3" t="n">
        <f aca="false">IF(P156="None",0,IFERROR(INDEX(Material_Properties!$D$2:$D$21,MATCH(P156,Material_Properties!$A$2:$A$21,0)),0))</f>
        <v>0</v>
      </c>
      <c r="R156" s="3" t="n">
        <f aca="false">INDEX(Shelter_Design!$O$2:$O$41,MATCH($B156,Shelter_Design!$A$2:$A$41,0))</f>
        <v>0</v>
      </c>
      <c r="S156" s="3" t="n">
        <f aca="false">(O156/1000)/N156</f>
        <v>1.07142857142857</v>
      </c>
      <c r="T156" s="3" t="n">
        <f aca="false">IF(OR(P156="None",Q156=0),0,(R156/1000)/Q156)</f>
        <v>0</v>
      </c>
      <c r="U156" s="3" t="n">
        <v>0.17</v>
      </c>
      <c r="V156" s="3" t="n">
        <f aca="false">S156+T156+U156</f>
        <v>1.24142857142857</v>
      </c>
      <c r="W156" s="3" t="n">
        <f aca="false">1/V156</f>
        <v>0.805523590333717</v>
      </c>
      <c r="X156" s="3" t="n">
        <f aca="false">INDEX(Shelter_Design!$R$2:$R$41,MATCH($B156,Shelter_Design!$A$2:$A$41,0))</f>
        <v>33.95</v>
      </c>
      <c r="Y156" s="3" t="n">
        <f aca="false">INDEX(Shelter_Design!$P$2:$P$41,MATCH($B156,Shelter_Design!$A$2:$A$41,0))</f>
        <v>2.45</v>
      </c>
      <c r="Z156" s="3" t="n">
        <f aca="false">INDEX(Shelter_Design!$G$2:$G$41,MATCH($B156,Shelter_Design!$A$2:$A$41,0))</f>
        <v>29.4</v>
      </c>
      <c r="AA156" s="3" t="n">
        <f aca="false">INDEX(Shelter_Design!$S$2:$S$41,MATCH($B156,Shelter_Design!$A$2:$A$41,0))</f>
        <v>0.0673076923076923</v>
      </c>
      <c r="AB156" s="3" t="n">
        <f aca="false">INDEX(Shelter_Design!$Y$2:$Y$41,MATCH($B156,Shelter_Design!$A$2:$A$41,0))</f>
        <v>2</v>
      </c>
      <c r="AC156" s="3" t="str">
        <f aca="false">INDEX(Shelter_Design!$Z$2:$Z$41,MATCH($B156,Shelter_Design!$A$2:$A$41,0))</f>
        <v>Light</v>
      </c>
      <c r="AD156" s="3" t="n">
        <f aca="false">INDEX(Shelter_Design!$AA$2:$AA$41,MATCH($B156,Shelter_Design!$A$2:$A$41,0))</f>
        <v>0.5</v>
      </c>
      <c r="AE156" s="3" t="s">
        <v>304</v>
      </c>
    </row>
    <row r="157" customFormat="false" ht="15" hidden="false" customHeight="true" outlineLevel="0" collapsed="false">
      <c r="A157" s="3" t="s">
        <v>459</v>
      </c>
      <c r="B157" s="3" t="s">
        <v>264</v>
      </c>
      <c r="C157" s="3" t="s">
        <v>252</v>
      </c>
      <c r="D157" s="3" t="s">
        <v>303</v>
      </c>
      <c r="E157" s="3" t="s">
        <v>62</v>
      </c>
      <c r="F157" s="3" t="s">
        <v>22</v>
      </c>
      <c r="G157" s="3" t="str">
        <f aca="false">E157&amp;"-"&amp;F157</f>
        <v>Guwahati-January</v>
      </c>
      <c r="H157" s="3" t="n">
        <f aca="false">INDEX(Weather_Data!$K$2:$K$73,MATCH($G157,Weather_Data!$J$2:$J$73,0))</f>
        <v>16</v>
      </c>
      <c r="I157" s="3" t="n">
        <f aca="false">INDEX(Weather_Data!$L$2:$L$73,MATCH($G157,Weather_Data!$J$2:$J$73,0))</f>
        <v>75</v>
      </c>
      <c r="J157" s="3" t="n">
        <f aca="false">INDEX(Weather_Data!$M$2:$M$73,MATCH($G157,Weather_Data!$J$2:$J$73,0))</f>
        <v>1</v>
      </c>
      <c r="K157" s="3" t="n">
        <f aca="false">INDEX(Weather_Data!$P$2:$P$73,MATCH($G157,Weather_Data!$J$2:$J$73,0))</f>
        <v>158.333333333333</v>
      </c>
      <c r="L157" s="3" t="n">
        <f aca="false">INDEX(Weather_Data!$Q$2:$Q$73,MATCH($G157,Weather_Data!$J$2:$J$73,0))</f>
        <v>15</v>
      </c>
      <c r="M157" s="3" t="str">
        <f aca="false">INDEX(Shelter_Design!$I$2:$I$41,MATCH($B157,Shelter_Design!$A$2:$A$41,0))</f>
        <v>M06</v>
      </c>
      <c r="N157" s="3" t="n">
        <f aca="false">IFERROR(INDEX(Material_Properties!$D$2:$D$21,MATCH(M157,Material_Properties!$A$2:$A$21,0)),1)</f>
        <v>0.14</v>
      </c>
      <c r="O157" s="3" t="n">
        <f aca="false">INDEX(Shelter_Design!$M$2:$M$41,MATCH($B157,Shelter_Design!$A$2:$A$41,0))</f>
        <v>150</v>
      </c>
      <c r="P157" s="3" t="str">
        <f aca="false">INDEX(Shelter_Design!$L$2:$L$41,MATCH($B157,Shelter_Design!$A$2:$A$41,0))</f>
        <v>None</v>
      </c>
      <c r="Q157" s="3" t="n">
        <f aca="false">IF(P157="None",0,IFERROR(INDEX(Material_Properties!$D$2:$D$21,MATCH(P157,Material_Properties!$A$2:$A$21,0)),0))</f>
        <v>0</v>
      </c>
      <c r="R157" s="3" t="n">
        <f aca="false">INDEX(Shelter_Design!$O$2:$O$41,MATCH($B157,Shelter_Design!$A$2:$A$41,0))</f>
        <v>0</v>
      </c>
      <c r="S157" s="3" t="n">
        <f aca="false">(O157/1000)/N157</f>
        <v>1.07142857142857</v>
      </c>
      <c r="T157" s="3" t="n">
        <f aca="false">IF(OR(P157="None",Q157=0),0,(R157/1000)/Q157)</f>
        <v>0</v>
      </c>
      <c r="U157" s="3" t="n">
        <v>0.17</v>
      </c>
      <c r="V157" s="3" t="n">
        <f aca="false">S157+T157+U157</f>
        <v>1.24142857142857</v>
      </c>
      <c r="W157" s="3" t="n">
        <f aca="false">1/V157</f>
        <v>0.805523590333717</v>
      </c>
      <c r="X157" s="3" t="n">
        <f aca="false">INDEX(Shelter_Design!$R$2:$R$41,MATCH($B157,Shelter_Design!$A$2:$A$41,0))</f>
        <v>50.5</v>
      </c>
      <c r="Y157" s="3" t="n">
        <f aca="false">INDEX(Shelter_Design!$P$2:$P$41,MATCH($B157,Shelter_Design!$A$2:$A$41,0))</f>
        <v>3.5</v>
      </c>
      <c r="Z157" s="3" t="n">
        <f aca="false">INDEX(Shelter_Design!$G$2:$G$41,MATCH($B157,Shelter_Design!$A$2:$A$41,0))</f>
        <v>60</v>
      </c>
      <c r="AA157" s="3" t="n">
        <f aca="false">INDEX(Shelter_Design!$S$2:$S$41,MATCH($B157,Shelter_Design!$A$2:$A$41,0))</f>
        <v>0.0648148148148148</v>
      </c>
      <c r="AB157" s="3" t="n">
        <f aca="false">INDEX(Shelter_Design!$Y$2:$Y$41,MATCH($B157,Shelter_Design!$A$2:$A$41,0))</f>
        <v>5</v>
      </c>
      <c r="AC157" s="3" t="str">
        <f aca="false">INDEX(Shelter_Design!$Z$2:$Z$41,MATCH($B157,Shelter_Design!$A$2:$A$41,0))</f>
        <v>Light</v>
      </c>
      <c r="AD157" s="3" t="n">
        <f aca="false">INDEX(Shelter_Design!$AA$2:$AA$41,MATCH($B157,Shelter_Design!$A$2:$A$41,0))</f>
        <v>0.5</v>
      </c>
      <c r="AE157" s="3" t="s">
        <v>304</v>
      </c>
    </row>
    <row r="158" customFormat="false" ht="15" hidden="false" customHeight="true" outlineLevel="0" collapsed="false">
      <c r="A158" s="3" t="s">
        <v>460</v>
      </c>
      <c r="B158" s="3" t="s">
        <v>264</v>
      </c>
      <c r="C158" s="3" t="s">
        <v>252</v>
      </c>
      <c r="D158" s="3" t="s">
        <v>303</v>
      </c>
      <c r="E158" s="3" t="s">
        <v>62</v>
      </c>
      <c r="F158" s="3" t="s">
        <v>33</v>
      </c>
      <c r="G158" s="3" t="str">
        <f aca="false">E158&amp;"-"&amp;F158</f>
        <v>Guwahati-April</v>
      </c>
      <c r="H158" s="3" t="n">
        <f aca="false">INDEX(Weather_Data!$K$2:$K$73,MATCH($G158,Weather_Data!$J$2:$J$73,0))</f>
        <v>25</v>
      </c>
      <c r="I158" s="3" t="n">
        <f aca="false">INDEX(Weather_Data!$L$2:$L$73,MATCH($G158,Weather_Data!$J$2:$J$73,0))</f>
        <v>70</v>
      </c>
      <c r="J158" s="3" t="n">
        <f aca="false">INDEX(Weather_Data!$M$2:$M$73,MATCH($G158,Weather_Data!$J$2:$J$73,0))</f>
        <v>2</v>
      </c>
      <c r="K158" s="3" t="n">
        <f aca="false">INDEX(Weather_Data!$P$2:$P$73,MATCH($G158,Weather_Data!$J$2:$J$73,0))</f>
        <v>200</v>
      </c>
      <c r="L158" s="3" t="n">
        <f aca="false">INDEX(Weather_Data!$Q$2:$Q$73,MATCH($G158,Weather_Data!$J$2:$J$73,0))</f>
        <v>150</v>
      </c>
      <c r="M158" s="3" t="str">
        <f aca="false">INDEX(Shelter_Design!$I$2:$I$41,MATCH($B158,Shelter_Design!$A$2:$A$41,0))</f>
        <v>M06</v>
      </c>
      <c r="N158" s="3" t="n">
        <f aca="false">IFERROR(INDEX(Material_Properties!$D$2:$D$21,MATCH(M158,Material_Properties!$A$2:$A$21,0)),1)</f>
        <v>0.14</v>
      </c>
      <c r="O158" s="3" t="n">
        <f aca="false">INDEX(Shelter_Design!$M$2:$M$41,MATCH($B158,Shelter_Design!$A$2:$A$41,0))</f>
        <v>150</v>
      </c>
      <c r="P158" s="3" t="str">
        <f aca="false">INDEX(Shelter_Design!$L$2:$L$41,MATCH($B158,Shelter_Design!$A$2:$A$41,0))</f>
        <v>None</v>
      </c>
      <c r="Q158" s="3" t="n">
        <f aca="false">IF(P158="None",0,IFERROR(INDEX(Material_Properties!$D$2:$D$21,MATCH(P158,Material_Properties!$A$2:$A$21,0)),0))</f>
        <v>0</v>
      </c>
      <c r="R158" s="3" t="n">
        <f aca="false">INDEX(Shelter_Design!$O$2:$O$41,MATCH($B158,Shelter_Design!$A$2:$A$41,0))</f>
        <v>0</v>
      </c>
      <c r="S158" s="3" t="n">
        <f aca="false">(O158/1000)/N158</f>
        <v>1.07142857142857</v>
      </c>
      <c r="T158" s="3" t="n">
        <f aca="false">IF(OR(P158="None",Q158=0),0,(R158/1000)/Q158)</f>
        <v>0</v>
      </c>
      <c r="U158" s="3" t="n">
        <v>0.17</v>
      </c>
      <c r="V158" s="3" t="n">
        <f aca="false">S158+T158+U158</f>
        <v>1.24142857142857</v>
      </c>
      <c r="W158" s="3" t="n">
        <f aca="false">1/V158</f>
        <v>0.805523590333717</v>
      </c>
      <c r="X158" s="3" t="n">
        <f aca="false">INDEX(Shelter_Design!$R$2:$R$41,MATCH($B158,Shelter_Design!$A$2:$A$41,0))</f>
        <v>50.5</v>
      </c>
      <c r="Y158" s="3" t="n">
        <f aca="false">INDEX(Shelter_Design!$P$2:$P$41,MATCH($B158,Shelter_Design!$A$2:$A$41,0))</f>
        <v>3.5</v>
      </c>
      <c r="Z158" s="3" t="n">
        <f aca="false">INDEX(Shelter_Design!$G$2:$G$41,MATCH($B158,Shelter_Design!$A$2:$A$41,0))</f>
        <v>60</v>
      </c>
      <c r="AA158" s="3" t="n">
        <f aca="false">INDEX(Shelter_Design!$S$2:$S$41,MATCH($B158,Shelter_Design!$A$2:$A$41,0))</f>
        <v>0.0648148148148148</v>
      </c>
      <c r="AB158" s="3" t="n">
        <f aca="false">INDEX(Shelter_Design!$Y$2:$Y$41,MATCH($B158,Shelter_Design!$A$2:$A$41,0))</f>
        <v>5</v>
      </c>
      <c r="AC158" s="3" t="str">
        <f aca="false">INDEX(Shelter_Design!$Z$2:$Z$41,MATCH($B158,Shelter_Design!$A$2:$A$41,0))</f>
        <v>Light</v>
      </c>
      <c r="AD158" s="3" t="n">
        <f aca="false">INDEX(Shelter_Design!$AA$2:$AA$41,MATCH($B158,Shelter_Design!$A$2:$A$41,0))</f>
        <v>0.5</v>
      </c>
      <c r="AE158" s="3" t="s">
        <v>304</v>
      </c>
    </row>
    <row r="159" customFormat="false" ht="15" hidden="false" customHeight="true" outlineLevel="0" collapsed="false">
      <c r="A159" s="3" t="s">
        <v>461</v>
      </c>
      <c r="B159" s="3" t="s">
        <v>264</v>
      </c>
      <c r="C159" s="3" t="s">
        <v>252</v>
      </c>
      <c r="D159" s="3" t="s">
        <v>303</v>
      </c>
      <c r="E159" s="3" t="s">
        <v>62</v>
      </c>
      <c r="F159" s="3" t="s">
        <v>42</v>
      </c>
      <c r="G159" s="3" t="str">
        <f aca="false">E159&amp;"-"&amp;F159</f>
        <v>Guwahati-July</v>
      </c>
      <c r="H159" s="3" t="n">
        <f aca="false">INDEX(Weather_Data!$K$2:$K$73,MATCH($G159,Weather_Data!$J$2:$J$73,0))</f>
        <v>28</v>
      </c>
      <c r="I159" s="3" t="n">
        <f aca="false">INDEX(Weather_Data!$L$2:$L$73,MATCH($G159,Weather_Data!$J$2:$J$73,0))</f>
        <v>88</v>
      </c>
      <c r="J159" s="3" t="n">
        <f aca="false">INDEX(Weather_Data!$M$2:$M$73,MATCH($G159,Weather_Data!$J$2:$J$73,0))</f>
        <v>2.3</v>
      </c>
      <c r="K159" s="3" t="n">
        <f aca="false">INDEX(Weather_Data!$P$2:$P$73,MATCH($G159,Weather_Data!$J$2:$J$73,0))</f>
        <v>158.333333333333</v>
      </c>
      <c r="L159" s="3" t="n">
        <f aca="false">INDEX(Weather_Data!$Q$2:$Q$73,MATCH($G159,Weather_Data!$J$2:$J$73,0))</f>
        <v>320</v>
      </c>
      <c r="M159" s="3" t="str">
        <f aca="false">INDEX(Shelter_Design!$I$2:$I$41,MATCH($B159,Shelter_Design!$A$2:$A$41,0))</f>
        <v>M06</v>
      </c>
      <c r="N159" s="3" t="n">
        <f aca="false">IFERROR(INDEX(Material_Properties!$D$2:$D$21,MATCH(M159,Material_Properties!$A$2:$A$21,0)),1)</f>
        <v>0.14</v>
      </c>
      <c r="O159" s="3" t="n">
        <f aca="false">INDEX(Shelter_Design!$M$2:$M$41,MATCH($B159,Shelter_Design!$A$2:$A$41,0))</f>
        <v>150</v>
      </c>
      <c r="P159" s="3" t="str">
        <f aca="false">INDEX(Shelter_Design!$L$2:$L$41,MATCH($B159,Shelter_Design!$A$2:$A$41,0))</f>
        <v>None</v>
      </c>
      <c r="Q159" s="3" t="n">
        <f aca="false">IF(P159="None",0,IFERROR(INDEX(Material_Properties!$D$2:$D$21,MATCH(P159,Material_Properties!$A$2:$A$21,0)),0))</f>
        <v>0</v>
      </c>
      <c r="R159" s="3" t="n">
        <f aca="false">INDEX(Shelter_Design!$O$2:$O$41,MATCH($B159,Shelter_Design!$A$2:$A$41,0))</f>
        <v>0</v>
      </c>
      <c r="S159" s="3" t="n">
        <f aca="false">(O159/1000)/N159</f>
        <v>1.07142857142857</v>
      </c>
      <c r="T159" s="3" t="n">
        <f aca="false">IF(OR(P159="None",Q159=0),0,(R159/1000)/Q159)</f>
        <v>0</v>
      </c>
      <c r="U159" s="3" t="n">
        <v>0.17</v>
      </c>
      <c r="V159" s="3" t="n">
        <f aca="false">S159+T159+U159</f>
        <v>1.24142857142857</v>
      </c>
      <c r="W159" s="3" t="n">
        <f aca="false">1/V159</f>
        <v>0.805523590333717</v>
      </c>
      <c r="X159" s="3" t="n">
        <f aca="false">INDEX(Shelter_Design!$R$2:$R$41,MATCH($B159,Shelter_Design!$A$2:$A$41,0))</f>
        <v>50.5</v>
      </c>
      <c r="Y159" s="3" t="n">
        <f aca="false">INDEX(Shelter_Design!$P$2:$P$41,MATCH($B159,Shelter_Design!$A$2:$A$41,0))</f>
        <v>3.5</v>
      </c>
      <c r="Z159" s="3" t="n">
        <f aca="false">INDEX(Shelter_Design!$G$2:$G$41,MATCH($B159,Shelter_Design!$A$2:$A$41,0))</f>
        <v>60</v>
      </c>
      <c r="AA159" s="3" t="n">
        <f aca="false">INDEX(Shelter_Design!$S$2:$S$41,MATCH($B159,Shelter_Design!$A$2:$A$41,0))</f>
        <v>0.0648148148148148</v>
      </c>
      <c r="AB159" s="3" t="n">
        <f aca="false">INDEX(Shelter_Design!$Y$2:$Y$41,MATCH($B159,Shelter_Design!$A$2:$A$41,0))</f>
        <v>5</v>
      </c>
      <c r="AC159" s="3" t="str">
        <f aca="false">INDEX(Shelter_Design!$Z$2:$Z$41,MATCH($B159,Shelter_Design!$A$2:$A$41,0))</f>
        <v>Light</v>
      </c>
      <c r="AD159" s="3" t="n">
        <f aca="false">INDEX(Shelter_Design!$AA$2:$AA$41,MATCH($B159,Shelter_Design!$A$2:$A$41,0))</f>
        <v>0.5</v>
      </c>
      <c r="AE159" s="3" t="s">
        <v>304</v>
      </c>
    </row>
    <row r="160" customFormat="false" ht="15" hidden="false" customHeight="true" outlineLevel="0" collapsed="false">
      <c r="A160" s="3" t="s">
        <v>462</v>
      </c>
      <c r="B160" s="3" t="s">
        <v>264</v>
      </c>
      <c r="C160" s="3" t="s">
        <v>252</v>
      </c>
      <c r="D160" s="3" t="s">
        <v>303</v>
      </c>
      <c r="E160" s="3" t="s">
        <v>62</v>
      </c>
      <c r="F160" s="3" t="s">
        <v>46</v>
      </c>
      <c r="G160" s="3" t="str">
        <f aca="false">E160&amp;"-"&amp;F160</f>
        <v>Guwahati-September</v>
      </c>
      <c r="H160" s="3" t="n">
        <f aca="false">INDEX(Weather_Data!$K$2:$K$73,MATCH($G160,Weather_Data!$J$2:$J$73,0))</f>
        <v>28</v>
      </c>
      <c r="I160" s="3" t="n">
        <f aca="false">INDEX(Weather_Data!$L$2:$L$73,MATCH($G160,Weather_Data!$J$2:$J$73,0))</f>
        <v>85</v>
      </c>
      <c r="J160" s="3" t="n">
        <f aca="false">INDEX(Weather_Data!$M$2:$M$73,MATCH($G160,Weather_Data!$J$2:$J$73,0))</f>
        <v>1.8</v>
      </c>
      <c r="K160" s="3" t="n">
        <f aca="false">INDEX(Weather_Data!$P$2:$P$73,MATCH($G160,Weather_Data!$J$2:$J$73,0))</f>
        <v>166.666666666667</v>
      </c>
      <c r="L160" s="3" t="n">
        <f aca="false">INDEX(Weather_Data!$Q$2:$Q$73,MATCH($G160,Weather_Data!$J$2:$J$73,0))</f>
        <v>220</v>
      </c>
      <c r="M160" s="3" t="str">
        <f aca="false">INDEX(Shelter_Design!$I$2:$I$41,MATCH($B160,Shelter_Design!$A$2:$A$41,0))</f>
        <v>M06</v>
      </c>
      <c r="N160" s="3" t="n">
        <f aca="false">IFERROR(INDEX(Material_Properties!$D$2:$D$21,MATCH(M160,Material_Properties!$A$2:$A$21,0)),1)</f>
        <v>0.14</v>
      </c>
      <c r="O160" s="3" t="n">
        <f aca="false">INDEX(Shelter_Design!$M$2:$M$41,MATCH($B160,Shelter_Design!$A$2:$A$41,0))</f>
        <v>150</v>
      </c>
      <c r="P160" s="3" t="str">
        <f aca="false">INDEX(Shelter_Design!$L$2:$L$41,MATCH($B160,Shelter_Design!$A$2:$A$41,0))</f>
        <v>None</v>
      </c>
      <c r="Q160" s="3" t="n">
        <f aca="false">IF(P160="None",0,IFERROR(INDEX(Material_Properties!$D$2:$D$21,MATCH(P160,Material_Properties!$A$2:$A$21,0)),0))</f>
        <v>0</v>
      </c>
      <c r="R160" s="3" t="n">
        <f aca="false">INDEX(Shelter_Design!$O$2:$O$41,MATCH($B160,Shelter_Design!$A$2:$A$41,0))</f>
        <v>0</v>
      </c>
      <c r="S160" s="3" t="n">
        <f aca="false">(O160/1000)/N160</f>
        <v>1.07142857142857</v>
      </c>
      <c r="T160" s="3" t="n">
        <f aca="false">IF(OR(P160="None",Q160=0),0,(R160/1000)/Q160)</f>
        <v>0</v>
      </c>
      <c r="U160" s="3" t="n">
        <v>0.17</v>
      </c>
      <c r="V160" s="3" t="n">
        <f aca="false">S160+T160+U160</f>
        <v>1.24142857142857</v>
      </c>
      <c r="W160" s="3" t="n">
        <f aca="false">1/V160</f>
        <v>0.805523590333717</v>
      </c>
      <c r="X160" s="3" t="n">
        <f aca="false">INDEX(Shelter_Design!$R$2:$R$41,MATCH($B160,Shelter_Design!$A$2:$A$41,0))</f>
        <v>50.5</v>
      </c>
      <c r="Y160" s="3" t="n">
        <f aca="false">INDEX(Shelter_Design!$P$2:$P$41,MATCH($B160,Shelter_Design!$A$2:$A$41,0))</f>
        <v>3.5</v>
      </c>
      <c r="Z160" s="3" t="n">
        <f aca="false">INDEX(Shelter_Design!$G$2:$G$41,MATCH($B160,Shelter_Design!$A$2:$A$41,0))</f>
        <v>60</v>
      </c>
      <c r="AA160" s="3" t="n">
        <f aca="false">INDEX(Shelter_Design!$S$2:$S$41,MATCH($B160,Shelter_Design!$A$2:$A$41,0))</f>
        <v>0.0648148148148148</v>
      </c>
      <c r="AB160" s="3" t="n">
        <f aca="false">INDEX(Shelter_Design!$Y$2:$Y$41,MATCH($B160,Shelter_Design!$A$2:$A$41,0))</f>
        <v>5</v>
      </c>
      <c r="AC160" s="3" t="str">
        <f aca="false">INDEX(Shelter_Design!$Z$2:$Z$41,MATCH($B160,Shelter_Design!$A$2:$A$41,0))</f>
        <v>Light</v>
      </c>
      <c r="AD160" s="3" t="n">
        <f aca="false">INDEX(Shelter_Design!$AA$2:$AA$41,MATCH($B160,Shelter_Design!$A$2:$A$41,0))</f>
        <v>0.5</v>
      </c>
      <c r="AE160" s="3" t="s">
        <v>304</v>
      </c>
    </row>
    <row r="161" customFormat="false" ht="15" hidden="false" customHeight="true" outlineLevel="0" collapsed="false">
      <c r="A161" s="3" t="s">
        <v>463</v>
      </c>
      <c r="B161" s="3" t="s">
        <v>264</v>
      </c>
      <c r="C161" s="3" t="s">
        <v>252</v>
      </c>
      <c r="D161" s="3" t="s">
        <v>303</v>
      </c>
      <c r="E161" s="3" t="s">
        <v>62</v>
      </c>
      <c r="F161" s="3" t="s">
        <v>51</v>
      </c>
      <c r="G161" s="3" t="str">
        <f aca="false">E161&amp;"-"&amp;F161</f>
        <v>Guwahati-November</v>
      </c>
      <c r="H161" s="3" t="n">
        <f aca="false">INDEX(Weather_Data!$K$2:$K$73,MATCH($G161,Weather_Data!$J$2:$J$73,0))</f>
        <v>20</v>
      </c>
      <c r="I161" s="3" t="n">
        <f aca="false">INDEX(Weather_Data!$L$2:$L$73,MATCH($G161,Weather_Data!$J$2:$J$73,0))</f>
        <v>78</v>
      </c>
      <c r="J161" s="3" t="n">
        <f aca="false">INDEX(Weather_Data!$M$2:$M$73,MATCH($G161,Weather_Data!$J$2:$J$73,0))</f>
        <v>1.2</v>
      </c>
      <c r="K161" s="3" t="n">
        <f aca="false">INDEX(Weather_Data!$P$2:$P$73,MATCH($G161,Weather_Data!$J$2:$J$73,0))</f>
        <v>158.333333333333</v>
      </c>
      <c r="L161" s="3" t="n">
        <f aca="false">INDEX(Weather_Data!$Q$2:$Q$73,MATCH($G161,Weather_Data!$J$2:$J$73,0))</f>
        <v>25</v>
      </c>
      <c r="M161" s="3" t="str">
        <f aca="false">INDEX(Shelter_Design!$I$2:$I$41,MATCH($B161,Shelter_Design!$A$2:$A$41,0))</f>
        <v>M06</v>
      </c>
      <c r="N161" s="3" t="n">
        <f aca="false">IFERROR(INDEX(Material_Properties!$D$2:$D$21,MATCH(M161,Material_Properties!$A$2:$A$21,0)),1)</f>
        <v>0.14</v>
      </c>
      <c r="O161" s="3" t="n">
        <f aca="false">INDEX(Shelter_Design!$M$2:$M$41,MATCH($B161,Shelter_Design!$A$2:$A$41,0))</f>
        <v>150</v>
      </c>
      <c r="P161" s="3" t="str">
        <f aca="false">INDEX(Shelter_Design!$L$2:$L$41,MATCH($B161,Shelter_Design!$A$2:$A$41,0))</f>
        <v>None</v>
      </c>
      <c r="Q161" s="3" t="n">
        <f aca="false">IF(P161="None",0,IFERROR(INDEX(Material_Properties!$D$2:$D$21,MATCH(P161,Material_Properties!$A$2:$A$21,0)),0))</f>
        <v>0</v>
      </c>
      <c r="R161" s="3" t="n">
        <f aca="false">INDEX(Shelter_Design!$O$2:$O$41,MATCH($B161,Shelter_Design!$A$2:$A$41,0))</f>
        <v>0</v>
      </c>
      <c r="S161" s="3" t="n">
        <f aca="false">(O161/1000)/N161</f>
        <v>1.07142857142857</v>
      </c>
      <c r="T161" s="3" t="n">
        <f aca="false">IF(OR(P161="None",Q161=0),0,(R161/1000)/Q161)</f>
        <v>0</v>
      </c>
      <c r="U161" s="3" t="n">
        <v>0.17</v>
      </c>
      <c r="V161" s="3" t="n">
        <f aca="false">S161+T161+U161</f>
        <v>1.24142857142857</v>
      </c>
      <c r="W161" s="3" t="n">
        <f aca="false">1/V161</f>
        <v>0.805523590333717</v>
      </c>
      <c r="X161" s="3" t="n">
        <f aca="false">INDEX(Shelter_Design!$R$2:$R$41,MATCH($B161,Shelter_Design!$A$2:$A$41,0))</f>
        <v>50.5</v>
      </c>
      <c r="Y161" s="3" t="n">
        <f aca="false">INDEX(Shelter_Design!$P$2:$P$41,MATCH($B161,Shelter_Design!$A$2:$A$41,0))</f>
        <v>3.5</v>
      </c>
      <c r="Z161" s="3" t="n">
        <f aca="false">INDEX(Shelter_Design!$G$2:$G$41,MATCH($B161,Shelter_Design!$A$2:$A$41,0))</f>
        <v>60</v>
      </c>
      <c r="AA161" s="3" t="n">
        <f aca="false">INDEX(Shelter_Design!$S$2:$S$41,MATCH($B161,Shelter_Design!$A$2:$A$41,0))</f>
        <v>0.0648148148148148</v>
      </c>
      <c r="AB161" s="3" t="n">
        <f aca="false">INDEX(Shelter_Design!$Y$2:$Y$41,MATCH($B161,Shelter_Design!$A$2:$A$41,0))</f>
        <v>5</v>
      </c>
      <c r="AC161" s="3" t="str">
        <f aca="false">INDEX(Shelter_Design!$Z$2:$Z$41,MATCH($B161,Shelter_Design!$A$2:$A$41,0))</f>
        <v>Light</v>
      </c>
      <c r="AD161" s="3" t="n">
        <f aca="false">INDEX(Shelter_Design!$AA$2:$AA$41,MATCH($B161,Shelter_Design!$A$2:$A$41,0))</f>
        <v>0.5</v>
      </c>
      <c r="AE161" s="3" t="s">
        <v>304</v>
      </c>
    </row>
    <row r="162" customFormat="false" ht="15" hidden="false" customHeight="true" outlineLevel="0" collapsed="false">
      <c r="A162" s="3" t="s">
        <v>464</v>
      </c>
      <c r="B162" s="3" t="s">
        <v>279</v>
      </c>
      <c r="C162" s="3" t="s">
        <v>280</v>
      </c>
      <c r="D162" s="3" t="s">
        <v>303</v>
      </c>
      <c r="E162" s="3" t="s">
        <v>20</v>
      </c>
      <c r="F162" s="3" t="s">
        <v>22</v>
      </c>
      <c r="G162" s="3" t="str">
        <f aca="false">E162&amp;"-"&amp;F162</f>
        <v>Leh-January</v>
      </c>
      <c r="H162" s="3" t="n">
        <f aca="false">INDEX(Weather_Data!$K$2:$K$73,MATCH($G162,Weather_Data!$J$2:$J$73,0))</f>
        <v>-8</v>
      </c>
      <c r="I162" s="3" t="n">
        <f aca="false">INDEX(Weather_Data!$L$2:$L$73,MATCH($G162,Weather_Data!$J$2:$J$73,0))</f>
        <v>25</v>
      </c>
      <c r="J162" s="3" t="n">
        <f aca="false">INDEX(Weather_Data!$M$2:$M$73,MATCH($G162,Weather_Data!$J$2:$J$73,0))</f>
        <v>2</v>
      </c>
      <c r="K162" s="3" t="n">
        <f aca="false">INDEX(Weather_Data!$P$2:$P$73,MATCH($G162,Weather_Data!$J$2:$J$73,0))</f>
        <v>166.666666666667</v>
      </c>
      <c r="L162" s="3" t="n">
        <f aca="false">INDEX(Weather_Data!$Q$2:$Q$73,MATCH($G162,Weather_Data!$J$2:$J$73,0))</f>
        <v>5</v>
      </c>
      <c r="M162" s="3" t="str">
        <f aca="false">INDEX(Shelter_Design!$I$2:$I$41,MATCH($B162,Shelter_Design!$A$2:$A$41,0))</f>
        <v>M12</v>
      </c>
      <c r="N162" s="3" t="n">
        <f aca="false">IFERROR(INDEX(Material_Properties!$D$2:$D$21,MATCH(M162,Material_Properties!$A$2:$A$21,0)),1)</f>
        <v>0.05</v>
      </c>
      <c r="O162" s="3" t="n">
        <f aca="false">INDEX(Shelter_Design!$M$2:$M$41,MATCH($B162,Shelter_Design!$A$2:$A$41,0))</f>
        <v>2</v>
      </c>
      <c r="P162" s="3" t="str">
        <f aca="false">INDEX(Shelter_Design!$L$2:$L$41,MATCH($B162,Shelter_Design!$A$2:$A$41,0))</f>
        <v>None</v>
      </c>
      <c r="Q162" s="3" t="n">
        <f aca="false">IF(P162="None",0,IFERROR(INDEX(Material_Properties!$D$2:$D$21,MATCH(P162,Material_Properties!$A$2:$A$21,0)),0))</f>
        <v>0</v>
      </c>
      <c r="R162" s="3" t="n">
        <f aca="false">INDEX(Shelter_Design!$O$2:$O$41,MATCH($B162,Shelter_Design!$A$2:$A$41,0))</f>
        <v>0</v>
      </c>
      <c r="S162" s="3" t="n">
        <f aca="false">(O162/1000)/N162</f>
        <v>0.04</v>
      </c>
      <c r="T162" s="3" t="n">
        <f aca="false">IF(OR(P162="None",Q162=0),0,(R162/1000)/Q162)</f>
        <v>0</v>
      </c>
      <c r="U162" s="3" t="n">
        <v>0.17</v>
      </c>
      <c r="V162" s="3" t="n">
        <f aca="false">S162+T162+U162</f>
        <v>0.21</v>
      </c>
      <c r="W162" s="3" t="n">
        <f aca="false">1/V162</f>
        <v>4.76190476190476</v>
      </c>
      <c r="X162" s="3" t="n">
        <f aca="false">INDEX(Shelter_Design!$R$2:$R$41,MATCH($B162,Shelter_Design!$A$2:$A$41,0))</f>
        <v>25.4</v>
      </c>
      <c r="Y162" s="3" t="n">
        <f aca="false">INDEX(Shelter_Design!$P$2:$P$41,MATCH($B162,Shelter_Design!$A$2:$A$41,0))</f>
        <v>1</v>
      </c>
      <c r="Z162" s="3" t="n">
        <f aca="false">INDEX(Shelter_Design!$G$2:$G$41,MATCH($B162,Shelter_Design!$A$2:$A$41,0))</f>
        <v>19.8</v>
      </c>
      <c r="AA162" s="3" t="n">
        <f aca="false">INDEX(Shelter_Design!$S$2:$S$41,MATCH($B162,Shelter_Design!$A$2:$A$41,0))</f>
        <v>0.0378787878787879</v>
      </c>
      <c r="AB162" s="3" t="n">
        <f aca="false">INDEX(Shelter_Design!$Y$2:$Y$41,MATCH($B162,Shelter_Design!$A$2:$A$41,0))</f>
        <v>2</v>
      </c>
      <c r="AC162" s="3" t="str">
        <f aca="false">INDEX(Shelter_Design!$Z$2:$Z$41,MATCH($B162,Shelter_Design!$A$2:$A$41,0))</f>
        <v>Light-moderate</v>
      </c>
      <c r="AD162" s="3" t="n">
        <f aca="false">INDEX(Shelter_Design!$AA$2:$AA$41,MATCH($B162,Shelter_Design!$A$2:$A$41,0))</f>
        <v>1</v>
      </c>
      <c r="AE162" s="3" t="s">
        <v>304</v>
      </c>
    </row>
    <row r="163" customFormat="false" ht="15" hidden="false" customHeight="true" outlineLevel="0" collapsed="false">
      <c r="A163" s="3" t="s">
        <v>465</v>
      </c>
      <c r="B163" s="3" t="s">
        <v>279</v>
      </c>
      <c r="C163" s="3" t="s">
        <v>280</v>
      </c>
      <c r="D163" s="3" t="s">
        <v>303</v>
      </c>
      <c r="E163" s="3" t="s">
        <v>20</v>
      </c>
      <c r="F163" s="3" t="s">
        <v>39</v>
      </c>
      <c r="G163" s="3" t="str">
        <f aca="false">E163&amp;"-"&amp;F163</f>
        <v>Leh-June</v>
      </c>
      <c r="H163" s="3" t="n">
        <f aca="false">INDEX(Weather_Data!$K$2:$K$73,MATCH($G163,Weather_Data!$J$2:$J$73,0))</f>
        <v>16</v>
      </c>
      <c r="I163" s="3" t="n">
        <f aca="false">INDEX(Weather_Data!$L$2:$L$73,MATCH($G163,Weather_Data!$J$2:$J$73,0))</f>
        <v>35</v>
      </c>
      <c r="J163" s="3" t="n">
        <f aca="false">INDEX(Weather_Data!$M$2:$M$73,MATCH($G163,Weather_Data!$J$2:$J$73,0))</f>
        <v>3.5</v>
      </c>
      <c r="K163" s="3" t="n">
        <f aca="false">INDEX(Weather_Data!$P$2:$P$73,MATCH($G163,Weather_Data!$J$2:$J$73,0))</f>
        <v>300</v>
      </c>
      <c r="L163" s="3" t="n">
        <f aca="false">INDEX(Weather_Data!$Q$2:$Q$73,MATCH($G163,Weather_Data!$J$2:$J$73,0))</f>
        <v>8</v>
      </c>
      <c r="M163" s="3" t="str">
        <f aca="false">INDEX(Shelter_Design!$I$2:$I$41,MATCH($B163,Shelter_Design!$A$2:$A$41,0))</f>
        <v>M12</v>
      </c>
      <c r="N163" s="3" t="n">
        <f aca="false">IFERROR(INDEX(Material_Properties!$D$2:$D$21,MATCH(M163,Material_Properties!$A$2:$A$21,0)),1)</f>
        <v>0.05</v>
      </c>
      <c r="O163" s="3" t="n">
        <f aca="false">INDEX(Shelter_Design!$M$2:$M$41,MATCH($B163,Shelter_Design!$A$2:$A$41,0))</f>
        <v>2</v>
      </c>
      <c r="P163" s="3" t="str">
        <f aca="false">INDEX(Shelter_Design!$L$2:$L$41,MATCH($B163,Shelter_Design!$A$2:$A$41,0))</f>
        <v>None</v>
      </c>
      <c r="Q163" s="3" t="n">
        <f aca="false">IF(P163="None",0,IFERROR(INDEX(Material_Properties!$D$2:$D$21,MATCH(P163,Material_Properties!$A$2:$A$21,0)),0))</f>
        <v>0</v>
      </c>
      <c r="R163" s="3" t="n">
        <f aca="false">INDEX(Shelter_Design!$O$2:$O$41,MATCH($B163,Shelter_Design!$A$2:$A$41,0))</f>
        <v>0</v>
      </c>
      <c r="S163" s="3" t="n">
        <f aca="false">(O163/1000)/N163</f>
        <v>0.04</v>
      </c>
      <c r="T163" s="3" t="n">
        <f aca="false">IF(OR(P163="None",Q163=0),0,(R163/1000)/Q163)</f>
        <v>0</v>
      </c>
      <c r="U163" s="3" t="n">
        <v>0.17</v>
      </c>
      <c r="V163" s="3" t="n">
        <f aca="false">S163+T163+U163</f>
        <v>0.21</v>
      </c>
      <c r="W163" s="3" t="n">
        <f aca="false">1/V163</f>
        <v>4.76190476190476</v>
      </c>
      <c r="X163" s="3" t="n">
        <f aca="false">INDEX(Shelter_Design!$R$2:$R$41,MATCH($B163,Shelter_Design!$A$2:$A$41,0))</f>
        <v>25.4</v>
      </c>
      <c r="Y163" s="3" t="n">
        <f aca="false">INDEX(Shelter_Design!$P$2:$P$41,MATCH($B163,Shelter_Design!$A$2:$A$41,0))</f>
        <v>1</v>
      </c>
      <c r="Z163" s="3" t="n">
        <f aca="false">INDEX(Shelter_Design!$G$2:$G$41,MATCH($B163,Shelter_Design!$A$2:$A$41,0))</f>
        <v>19.8</v>
      </c>
      <c r="AA163" s="3" t="n">
        <f aca="false">INDEX(Shelter_Design!$S$2:$S$41,MATCH($B163,Shelter_Design!$A$2:$A$41,0))</f>
        <v>0.0378787878787879</v>
      </c>
      <c r="AB163" s="3" t="n">
        <f aca="false">INDEX(Shelter_Design!$Y$2:$Y$41,MATCH($B163,Shelter_Design!$A$2:$A$41,0))</f>
        <v>2</v>
      </c>
      <c r="AC163" s="3" t="str">
        <f aca="false">INDEX(Shelter_Design!$Z$2:$Z$41,MATCH($B163,Shelter_Design!$A$2:$A$41,0))</f>
        <v>Light-moderate</v>
      </c>
      <c r="AD163" s="3" t="n">
        <f aca="false">INDEX(Shelter_Design!$AA$2:$AA$41,MATCH($B163,Shelter_Design!$A$2:$A$41,0))</f>
        <v>1</v>
      </c>
      <c r="AE163" s="3" t="s">
        <v>304</v>
      </c>
    </row>
    <row r="164" customFormat="false" ht="15" hidden="false" customHeight="true" outlineLevel="0" collapsed="false">
      <c r="A164" s="3" t="s">
        <v>466</v>
      </c>
      <c r="B164" s="3" t="s">
        <v>279</v>
      </c>
      <c r="C164" s="3" t="s">
        <v>280</v>
      </c>
      <c r="D164" s="3" t="s">
        <v>303</v>
      </c>
      <c r="E164" s="3" t="s">
        <v>20</v>
      </c>
      <c r="F164" s="3" t="s">
        <v>46</v>
      </c>
      <c r="G164" s="3" t="str">
        <f aca="false">E164&amp;"-"&amp;F164</f>
        <v>Leh-September</v>
      </c>
      <c r="H164" s="3" t="n">
        <f aca="false">INDEX(Weather_Data!$K$2:$K$73,MATCH($G164,Weather_Data!$J$2:$J$73,0))</f>
        <v>14</v>
      </c>
      <c r="I164" s="3" t="n">
        <f aca="false">INDEX(Weather_Data!$L$2:$L$73,MATCH($G164,Weather_Data!$J$2:$J$73,0))</f>
        <v>35</v>
      </c>
      <c r="J164" s="3" t="n">
        <f aca="false">INDEX(Weather_Data!$M$2:$M$73,MATCH($G164,Weather_Data!$J$2:$J$73,0))</f>
        <v>3</v>
      </c>
      <c r="K164" s="3" t="n">
        <f aca="false">INDEX(Weather_Data!$P$2:$P$73,MATCH($G164,Weather_Data!$J$2:$J$73,0))</f>
        <v>250</v>
      </c>
      <c r="L164" s="3" t="n">
        <f aca="false">INDEX(Weather_Data!$Q$2:$Q$73,MATCH($G164,Weather_Data!$J$2:$J$73,0))</f>
        <v>8</v>
      </c>
      <c r="M164" s="3" t="str">
        <f aca="false">INDEX(Shelter_Design!$I$2:$I$41,MATCH($B164,Shelter_Design!$A$2:$A$41,0))</f>
        <v>M12</v>
      </c>
      <c r="N164" s="3" t="n">
        <f aca="false">IFERROR(INDEX(Material_Properties!$D$2:$D$21,MATCH(M164,Material_Properties!$A$2:$A$21,0)),1)</f>
        <v>0.05</v>
      </c>
      <c r="O164" s="3" t="n">
        <f aca="false">INDEX(Shelter_Design!$M$2:$M$41,MATCH($B164,Shelter_Design!$A$2:$A$41,0))</f>
        <v>2</v>
      </c>
      <c r="P164" s="3" t="str">
        <f aca="false">INDEX(Shelter_Design!$L$2:$L$41,MATCH($B164,Shelter_Design!$A$2:$A$41,0))</f>
        <v>None</v>
      </c>
      <c r="Q164" s="3" t="n">
        <f aca="false">IF(P164="None",0,IFERROR(INDEX(Material_Properties!$D$2:$D$21,MATCH(P164,Material_Properties!$A$2:$A$21,0)),0))</f>
        <v>0</v>
      </c>
      <c r="R164" s="3" t="n">
        <f aca="false">INDEX(Shelter_Design!$O$2:$O$41,MATCH($B164,Shelter_Design!$A$2:$A$41,0))</f>
        <v>0</v>
      </c>
      <c r="S164" s="3" t="n">
        <f aca="false">(O164/1000)/N164</f>
        <v>0.04</v>
      </c>
      <c r="T164" s="3" t="n">
        <f aca="false">IF(OR(P164="None",Q164=0),0,(R164/1000)/Q164)</f>
        <v>0</v>
      </c>
      <c r="U164" s="3" t="n">
        <v>0.17</v>
      </c>
      <c r="V164" s="3" t="n">
        <f aca="false">S164+T164+U164</f>
        <v>0.21</v>
      </c>
      <c r="W164" s="3" t="n">
        <f aca="false">1/V164</f>
        <v>4.76190476190476</v>
      </c>
      <c r="X164" s="3" t="n">
        <f aca="false">INDEX(Shelter_Design!$R$2:$R$41,MATCH($B164,Shelter_Design!$A$2:$A$41,0))</f>
        <v>25.4</v>
      </c>
      <c r="Y164" s="3" t="n">
        <f aca="false">INDEX(Shelter_Design!$P$2:$P$41,MATCH($B164,Shelter_Design!$A$2:$A$41,0))</f>
        <v>1</v>
      </c>
      <c r="Z164" s="3" t="n">
        <f aca="false">INDEX(Shelter_Design!$G$2:$G$41,MATCH($B164,Shelter_Design!$A$2:$A$41,0))</f>
        <v>19.8</v>
      </c>
      <c r="AA164" s="3" t="n">
        <f aca="false">INDEX(Shelter_Design!$S$2:$S$41,MATCH($B164,Shelter_Design!$A$2:$A$41,0))</f>
        <v>0.0378787878787879</v>
      </c>
      <c r="AB164" s="3" t="n">
        <f aca="false">INDEX(Shelter_Design!$Y$2:$Y$41,MATCH($B164,Shelter_Design!$A$2:$A$41,0))</f>
        <v>2</v>
      </c>
      <c r="AC164" s="3" t="str">
        <f aca="false">INDEX(Shelter_Design!$Z$2:$Z$41,MATCH($B164,Shelter_Design!$A$2:$A$41,0))</f>
        <v>Light-moderate</v>
      </c>
      <c r="AD164" s="3" t="n">
        <f aca="false">INDEX(Shelter_Design!$AA$2:$AA$41,MATCH($B164,Shelter_Design!$A$2:$A$41,0))</f>
        <v>1</v>
      </c>
      <c r="AE164" s="3" t="s">
        <v>304</v>
      </c>
    </row>
    <row r="165" customFormat="false" ht="15" hidden="false" customHeight="true" outlineLevel="0" collapsed="false">
      <c r="A165" s="3" t="s">
        <v>467</v>
      </c>
      <c r="B165" s="3" t="s">
        <v>279</v>
      </c>
      <c r="C165" s="3" t="s">
        <v>280</v>
      </c>
      <c r="D165" s="3" t="s">
        <v>303</v>
      </c>
      <c r="E165" s="3" t="s">
        <v>67</v>
      </c>
      <c r="F165" s="3" t="s">
        <v>22</v>
      </c>
      <c r="G165" s="3" t="str">
        <f aca="false">E165&amp;"-"&amp;F165</f>
        <v>Chennai-January</v>
      </c>
      <c r="H165" s="3" t="n">
        <f aca="false">INDEX(Weather_Data!$K$2:$K$73,MATCH($G165,Weather_Data!$J$2:$J$73,0))</f>
        <v>25</v>
      </c>
      <c r="I165" s="3" t="n">
        <f aca="false">INDEX(Weather_Data!$L$2:$L$73,MATCH($G165,Weather_Data!$J$2:$J$73,0))</f>
        <v>72</v>
      </c>
      <c r="J165" s="3" t="n">
        <f aca="false">INDEX(Weather_Data!$M$2:$M$73,MATCH($G165,Weather_Data!$J$2:$J$73,0))</f>
        <v>3</v>
      </c>
      <c r="K165" s="3" t="n">
        <f aca="false">INDEX(Weather_Data!$P$2:$P$73,MATCH($G165,Weather_Data!$J$2:$J$73,0))</f>
        <v>187.5</v>
      </c>
      <c r="L165" s="3" t="n">
        <f aca="false">INDEX(Weather_Data!$Q$2:$Q$73,MATCH($G165,Weather_Data!$J$2:$J$73,0))</f>
        <v>25</v>
      </c>
      <c r="M165" s="3" t="str">
        <f aca="false">INDEX(Shelter_Design!$I$2:$I$41,MATCH($B165,Shelter_Design!$A$2:$A$41,0))</f>
        <v>M12</v>
      </c>
      <c r="N165" s="3" t="n">
        <f aca="false">IFERROR(INDEX(Material_Properties!$D$2:$D$21,MATCH(M165,Material_Properties!$A$2:$A$21,0)),1)</f>
        <v>0.05</v>
      </c>
      <c r="O165" s="3" t="n">
        <f aca="false">INDEX(Shelter_Design!$M$2:$M$41,MATCH($B165,Shelter_Design!$A$2:$A$41,0))</f>
        <v>2</v>
      </c>
      <c r="P165" s="3" t="str">
        <f aca="false">INDEX(Shelter_Design!$L$2:$L$41,MATCH($B165,Shelter_Design!$A$2:$A$41,0))</f>
        <v>None</v>
      </c>
      <c r="Q165" s="3" t="n">
        <f aca="false">IF(P165="None",0,IFERROR(INDEX(Material_Properties!$D$2:$D$21,MATCH(P165,Material_Properties!$A$2:$A$21,0)),0))</f>
        <v>0</v>
      </c>
      <c r="R165" s="3" t="n">
        <f aca="false">INDEX(Shelter_Design!$O$2:$O$41,MATCH($B165,Shelter_Design!$A$2:$A$41,0))</f>
        <v>0</v>
      </c>
      <c r="S165" s="3" t="n">
        <f aca="false">(O165/1000)/N165</f>
        <v>0.04</v>
      </c>
      <c r="T165" s="3" t="n">
        <f aca="false">IF(OR(P165="None",Q165=0),0,(R165/1000)/Q165)</f>
        <v>0</v>
      </c>
      <c r="U165" s="3" t="n">
        <v>0.17</v>
      </c>
      <c r="V165" s="3" t="n">
        <f aca="false">S165+T165+U165</f>
        <v>0.21</v>
      </c>
      <c r="W165" s="3" t="n">
        <f aca="false">1/V165</f>
        <v>4.76190476190476</v>
      </c>
      <c r="X165" s="3" t="n">
        <f aca="false">INDEX(Shelter_Design!$R$2:$R$41,MATCH($B165,Shelter_Design!$A$2:$A$41,0))</f>
        <v>25.4</v>
      </c>
      <c r="Y165" s="3" t="n">
        <f aca="false">INDEX(Shelter_Design!$P$2:$P$41,MATCH($B165,Shelter_Design!$A$2:$A$41,0))</f>
        <v>1</v>
      </c>
      <c r="Z165" s="3" t="n">
        <f aca="false">INDEX(Shelter_Design!$G$2:$G$41,MATCH($B165,Shelter_Design!$A$2:$A$41,0))</f>
        <v>19.8</v>
      </c>
      <c r="AA165" s="3" t="n">
        <f aca="false">INDEX(Shelter_Design!$S$2:$S$41,MATCH($B165,Shelter_Design!$A$2:$A$41,0))</f>
        <v>0.0378787878787879</v>
      </c>
      <c r="AB165" s="3" t="n">
        <f aca="false">INDEX(Shelter_Design!$Y$2:$Y$41,MATCH($B165,Shelter_Design!$A$2:$A$41,0))</f>
        <v>2</v>
      </c>
      <c r="AC165" s="3" t="str">
        <f aca="false">INDEX(Shelter_Design!$Z$2:$Z$41,MATCH($B165,Shelter_Design!$A$2:$A$41,0))</f>
        <v>Light-moderate</v>
      </c>
      <c r="AD165" s="3" t="n">
        <f aca="false">INDEX(Shelter_Design!$AA$2:$AA$41,MATCH($B165,Shelter_Design!$A$2:$A$41,0))</f>
        <v>1</v>
      </c>
      <c r="AE165" s="3" t="s">
        <v>304</v>
      </c>
    </row>
    <row r="166" customFormat="false" ht="15" hidden="false" customHeight="true" outlineLevel="0" collapsed="false">
      <c r="A166" s="3" t="s">
        <v>468</v>
      </c>
      <c r="B166" s="3" t="s">
        <v>279</v>
      </c>
      <c r="C166" s="3" t="s">
        <v>280</v>
      </c>
      <c r="D166" s="3" t="s">
        <v>303</v>
      </c>
      <c r="E166" s="3" t="s">
        <v>67</v>
      </c>
      <c r="F166" s="3" t="s">
        <v>39</v>
      </c>
      <c r="G166" s="3" t="str">
        <f aca="false">E166&amp;"-"&amp;F166</f>
        <v>Chennai-June</v>
      </c>
      <c r="H166" s="3" t="n">
        <f aca="false">INDEX(Weather_Data!$K$2:$K$73,MATCH($G166,Weather_Data!$J$2:$J$73,0))</f>
        <v>33</v>
      </c>
      <c r="I166" s="3" t="n">
        <f aca="false">INDEX(Weather_Data!$L$2:$L$73,MATCH($G166,Weather_Data!$J$2:$J$73,0))</f>
        <v>60</v>
      </c>
      <c r="J166" s="3" t="n">
        <f aca="false">INDEX(Weather_Data!$M$2:$M$73,MATCH($G166,Weather_Data!$J$2:$J$73,0))</f>
        <v>4</v>
      </c>
      <c r="K166" s="3" t="n">
        <f aca="false">INDEX(Weather_Data!$P$2:$P$73,MATCH($G166,Weather_Data!$J$2:$J$73,0))</f>
        <v>229.166666666667</v>
      </c>
      <c r="L166" s="3" t="n">
        <f aca="false">INDEX(Weather_Data!$Q$2:$Q$73,MATCH($G166,Weather_Data!$J$2:$J$73,0))</f>
        <v>50</v>
      </c>
      <c r="M166" s="3" t="str">
        <f aca="false">INDEX(Shelter_Design!$I$2:$I$41,MATCH($B166,Shelter_Design!$A$2:$A$41,0))</f>
        <v>M12</v>
      </c>
      <c r="N166" s="3" t="n">
        <f aca="false">IFERROR(INDEX(Material_Properties!$D$2:$D$21,MATCH(M166,Material_Properties!$A$2:$A$21,0)),1)</f>
        <v>0.05</v>
      </c>
      <c r="O166" s="3" t="n">
        <f aca="false">INDEX(Shelter_Design!$M$2:$M$41,MATCH($B166,Shelter_Design!$A$2:$A$41,0))</f>
        <v>2</v>
      </c>
      <c r="P166" s="3" t="str">
        <f aca="false">INDEX(Shelter_Design!$L$2:$L$41,MATCH($B166,Shelter_Design!$A$2:$A$41,0))</f>
        <v>None</v>
      </c>
      <c r="Q166" s="3" t="n">
        <f aca="false">IF(P166="None",0,IFERROR(INDEX(Material_Properties!$D$2:$D$21,MATCH(P166,Material_Properties!$A$2:$A$21,0)),0))</f>
        <v>0</v>
      </c>
      <c r="R166" s="3" t="n">
        <f aca="false">INDEX(Shelter_Design!$O$2:$O$41,MATCH($B166,Shelter_Design!$A$2:$A$41,0))</f>
        <v>0</v>
      </c>
      <c r="S166" s="3" t="n">
        <f aca="false">(O166/1000)/N166</f>
        <v>0.04</v>
      </c>
      <c r="T166" s="3" t="n">
        <f aca="false">IF(OR(P166="None",Q166=0),0,(R166/1000)/Q166)</f>
        <v>0</v>
      </c>
      <c r="U166" s="3" t="n">
        <v>0.17</v>
      </c>
      <c r="V166" s="3" t="n">
        <f aca="false">S166+T166+U166</f>
        <v>0.21</v>
      </c>
      <c r="W166" s="3" t="n">
        <f aca="false">1/V166</f>
        <v>4.76190476190476</v>
      </c>
      <c r="X166" s="3" t="n">
        <f aca="false">INDEX(Shelter_Design!$R$2:$R$41,MATCH($B166,Shelter_Design!$A$2:$A$41,0))</f>
        <v>25.4</v>
      </c>
      <c r="Y166" s="3" t="n">
        <f aca="false">INDEX(Shelter_Design!$P$2:$P$41,MATCH($B166,Shelter_Design!$A$2:$A$41,0))</f>
        <v>1</v>
      </c>
      <c r="Z166" s="3" t="n">
        <f aca="false">INDEX(Shelter_Design!$G$2:$G$41,MATCH($B166,Shelter_Design!$A$2:$A$41,0))</f>
        <v>19.8</v>
      </c>
      <c r="AA166" s="3" t="n">
        <f aca="false">INDEX(Shelter_Design!$S$2:$S$41,MATCH($B166,Shelter_Design!$A$2:$A$41,0))</f>
        <v>0.0378787878787879</v>
      </c>
      <c r="AB166" s="3" t="n">
        <f aca="false">INDEX(Shelter_Design!$Y$2:$Y$41,MATCH($B166,Shelter_Design!$A$2:$A$41,0))</f>
        <v>2</v>
      </c>
      <c r="AC166" s="3" t="str">
        <f aca="false">INDEX(Shelter_Design!$Z$2:$Z$41,MATCH($B166,Shelter_Design!$A$2:$A$41,0))</f>
        <v>Light-moderate</v>
      </c>
      <c r="AD166" s="3" t="n">
        <f aca="false">INDEX(Shelter_Design!$AA$2:$AA$41,MATCH($B166,Shelter_Design!$A$2:$A$41,0))</f>
        <v>1</v>
      </c>
      <c r="AE166" s="3" t="s">
        <v>304</v>
      </c>
    </row>
    <row r="167" customFormat="false" ht="15" hidden="false" customHeight="true" outlineLevel="0" collapsed="false">
      <c r="A167" s="3" t="s">
        <v>469</v>
      </c>
      <c r="B167" s="3" t="s">
        <v>279</v>
      </c>
      <c r="C167" s="3" t="s">
        <v>280</v>
      </c>
      <c r="D167" s="3" t="s">
        <v>303</v>
      </c>
      <c r="E167" s="3" t="s">
        <v>67</v>
      </c>
      <c r="F167" s="3" t="s">
        <v>46</v>
      </c>
      <c r="G167" s="3" t="str">
        <f aca="false">E167&amp;"-"&amp;F167</f>
        <v>Chennai-September</v>
      </c>
      <c r="H167" s="3" t="n">
        <f aca="false">INDEX(Weather_Data!$K$2:$K$73,MATCH($G167,Weather_Data!$J$2:$J$73,0))</f>
        <v>30</v>
      </c>
      <c r="I167" s="3" t="n">
        <f aca="false">INDEX(Weather_Data!$L$2:$L$73,MATCH($G167,Weather_Data!$J$2:$J$73,0))</f>
        <v>72</v>
      </c>
      <c r="J167" s="3" t="n">
        <f aca="false">INDEX(Weather_Data!$M$2:$M$73,MATCH($G167,Weather_Data!$J$2:$J$73,0))</f>
        <v>3.5</v>
      </c>
      <c r="K167" s="3" t="n">
        <f aca="false">INDEX(Weather_Data!$P$2:$P$73,MATCH($G167,Weather_Data!$J$2:$J$73,0))</f>
        <v>216.666666666667</v>
      </c>
      <c r="L167" s="3" t="n">
        <f aca="false">INDEX(Weather_Data!$Q$2:$Q$73,MATCH($G167,Weather_Data!$J$2:$J$73,0))</f>
        <v>120</v>
      </c>
      <c r="M167" s="3" t="str">
        <f aca="false">INDEX(Shelter_Design!$I$2:$I$41,MATCH($B167,Shelter_Design!$A$2:$A$41,0))</f>
        <v>M12</v>
      </c>
      <c r="N167" s="3" t="n">
        <f aca="false">IFERROR(INDEX(Material_Properties!$D$2:$D$21,MATCH(M167,Material_Properties!$A$2:$A$21,0)),1)</f>
        <v>0.05</v>
      </c>
      <c r="O167" s="3" t="n">
        <f aca="false">INDEX(Shelter_Design!$M$2:$M$41,MATCH($B167,Shelter_Design!$A$2:$A$41,0))</f>
        <v>2</v>
      </c>
      <c r="P167" s="3" t="str">
        <f aca="false">INDEX(Shelter_Design!$L$2:$L$41,MATCH($B167,Shelter_Design!$A$2:$A$41,0))</f>
        <v>None</v>
      </c>
      <c r="Q167" s="3" t="n">
        <f aca="false">IF(P167="None",0,IFERROR(INDEX(Material_Properties!$D$2:$D$21,MATCH(P167,Material_Properties!$A$2:$A$21,0)),0))</f>
        <v>0</v>
      </c>
      <c r="R167" s="3" t="n">
        <f aca="false">INDEX(Shelter_Design!$O$2:$O$41,MATCH($B167,Shelter_Design!$A$2:$A$41,0))</f>
        <v>0</v>
      </c>
      <c r="S167" s="3" t="n">
        <f aca="false">(O167/1000)/N167</f>
        <v>0.04</v>
      </c>
      <c r="T167" s="3" t="n">
        <f aca="false">IF(OR(P167="None",Q167=0),0,(R167/1000)/Q167)</f>
        <v>0</v>
      </c>
      <c r="U167" s="3" t="n">
        <v>0.17</v>
      </c>
      <c r="V167" s="3" t="n">
        <f aca="false">S167+T167+U167</f>
        <v>0.21</v>
      </c>
      <c r="W167" s="3" t="n">
        <f aca="false">1/V167</f>
        <v>4.76190476190476</v>
      </c>
      <c r="X167" s="3" t="n">
        <f aca="false">INDEX(Shelter_Design!$R$2:$R$41,MATCH($B167,Shelter_Design!$A$2:$A$41,0))</f>
        <v>25.4</v>
      </c>
      <c r="Y167" s="3" t="n">
        <f aca="false">INDEX(Shelter_Design!$P$2:$P$41,MATCH($B167,Shelter_Design!$A$2:$A$41,0))</f>
        <v>1</v>
      </c>
      <c r="Z167" s="3" t="n">
        <f aca="false">INDEX(Shelter_Design!$G$2:$G$41,MATCH($B167,Shelter_Design!$A$2:$A$41,0))</f>
        <v>19.8</v>
      </c>
      <c r="AA167" s="3" t="n">
        <f aca="false">INDEX(Shelter_Design!$S$2:$S$41,MATCH($B167,Shelter_Design!$A$2:$A$41,0))</f>
        <v>0.0378787878787879</v>
      </c>
      <c r="AB167" s="3" t="n">
        <f aca="false">INDEX(Shelter_Design!$Y$2:$Y$41,MATCH($B167,Shelter_Design!$A$2:$A$41,0))</f>
        <v>2</v>
      </c>
      <c r="AC167" s="3" t="str">
        <f aca="false">INDEX(Shelter_Design!$Z$2:$Z$41,MATCH($B167,Shelter_Design!$A$2:$A$41,0))</f>
        <v>Light-moderate</v>
      </c>
      <c r="AD167" s="3" t="n">
        <f aca="false">INDEX(Shelter_Design!$AA$2:$AA$41,MATCH($B167,Shelter_Design!$A$2:$A$41,0))</f>
        <v>1</v>
      </c>
      <c r="AE167" s="3" t="s">
        <v>304</v>
      </c>
    </row>
    <row r="168" customFormat="false" ht="15" hidden="false" customHeight="true" outlineLevel="0" collapsed="false">
      <c r="A168" s="3" t="s">
        <v>470</v>
      </c>
      <c r="B168" s="3" t="s">
        <v>285</v>
      </c>
      <c r="C168" s="3" t="s">
        <v>280</v>
      </c>
      <c r="D168" s="3" t="s">
        <v>303</v>
      </c>
      <c r="E168" s="3" t="s">
        <v>20</v>
      </c>
      <c r="F168" s="3" t="s">
        <v>22</v>
      </c>
      <c r="G168" s="3" t="str">
        <f aca="false">E168&amp;"-"&amp;F168</f>
        <v>Leh-January</v>
      </c>
      <c r="H168" s="3" t="n">
        <f aca="false">INDEX(Weather_Data!$K$2:$K$73,MATCH($G168,Weather_Data!$J$2:$J$73,0))</f>
        <v>-8</v>
      </c>
      <c r="I168" s="3" t="n">
        <f aca="false">INDEX(Weather_Data!$L$2:$L$73,MATCH($G168,Weather_Data!$J$2:$J$73,0))</f>
        <v>25</v>
      </c>
      <c r="J168" s="3" t="n">
        <f aca="false">INDEX(Weather_Data!$M$2:$M$73,MATCH($G168,Weather_Data!$J$2:$J$73,0))</f>
        <v>2</v>
      </c>
      <c r="K168" s="3" t="n">
        <f aca="false">INDEX(Weather_Data!$P$2:$P$73,MATCH($G168,Weather_Data!$J$2:$J$73,0))</f>
        <v>166.666666666667</v>
      </c>
      <c r="L168" s="3" t="n">
        <f aca="false">INDEX(Weather_Data!$Q$2:$Q$73,MATCH($G168,Weather_Data!$J$2:$J$73,0))</f>
        <v>5</v>
      </c>
      <c r="M168" s="3" t="str">
        <f aca="false">INDEX(Shelter_Design!$I$2:$I$41,MATCH($B168,Shelter_Design!$A$2:$A$41,0))</f>
        <v>M12</v>
      </c>
      <c r="N168" s="3" t="n">
        <f aca="false">IFERROR(INDEX(Material_Properties!$D$2:$D$21,MATCH(M168,Material_Properties!$A$2:$A$21,0)),1)</f>
        <v>0.05</v>
      </c>
      <c r="O168" s="3" t="n">
        <f aca="false">INDEX(Shelter_Design!$M$2:$M$41,MATCH($B168,Shelter_Design!$A$2:$A$41,0))</f>
        <v>2</v>
      </c>
      <c r="P168" s="3" t="str">
        <f aca="false">INDEX(Shelter_Design!$L$2:$L$41,MATCH($B168,Shelter_Design!$A$2:$A$41,0))</f>
        <v>None</v>
      </c>
      <c r="Q168" s="3" t="n">
        <f aca="false">IF(P168="None",0,IFERROR(INDEX(Material_Properties!$D$2:$D$21,MATCH(P168,Material_Properties!$A$2:$A$21,0)),0))</f>
        <v>0</v>
      </c>
      <c r="R168" s="3" t="n">
        <f aca="false">INDEX(Shelter_Design!$O$2:$O$41,MATCH($B168,Shelter_Design!$A$2:$A$41,0))</f>
        <v>0</v>
      </c>
      <c r="S168" s="3" t="n">
        <f aca="false">(O168/1000)/N168</f>
        <v>0.04</v>
      </c>
      <c r="T168" s="3" t="n">
        <f aca="false">IF(OR(P168="None",Q168=0),0,(R168/1000)/Q168)</f>
        <v>0</v>
      </c>
      <c r="U168" s="3" t="n">
        <v>0.17</v>
      </c>
      <c r="V168" s="3" t="n">
        <f aca="false">S168+T168+U168</f>
        <v>0.21</v>
      </c>
      <c r="W168" s="3" t="n">
        <f aca="false">1/V168</f>
        <v>4.76190476190476</v>
      </c>
      <c r="X168" s="3" t="n">
        <f aca="false">INDEX(Shelter_Design!$R$2:$R$41,MATCH($B168,Shelter_Design!$A$2:$A$41,0))</f>
        <v>31.2</v>
      </c>
      <c r="Y168" s="3" t="n">
        <f aca="false">INDEX(Shelter_Design!$P$2:$P$41,MATCH($B168,Shelter_Design!$A$2:$A$41,0))</f>
        <v>1</v>
      </c>
      <c r="Z168" s="3" t="n">
        <f aca="false">INDEX(Shelter_Design!$G$2:$G$41,MATCH($B168,Shelter_Design!$A$2:$A$41,0))</f>
        <v>27.6</v>
      </c>
      <c r="AA168" s="3" t="n">
        <f aca="false">INDEX(Shelter_Design!$S$2:$S$41,MATCH($B168,Shelter_Design!$A$2:$A$41,0))</f>
        <v>0.031055900621118</v>
      </c>
      <c r="AB168" s="3" t="n">
        <f aca="false">INDEX(Shelter_Design!$Y$2:$Y$41,MATCH($B168,Shelter_Design!$A$2:$A$41,0))</f>
        <v>4</v>
      </c>
      <c r="AC168" s="3" t="str">
        <f aca="false">INDEX(Shelter_Design!$Z$2:$Z$41,MATCH($B168,Shelter_Design!$A$2:$A$41,0))</f>
        <v>Light-moderate</v>
      </c>
      <c r="AD168" s="3" t="n">
        <f aca="false">INDEX(Shelter_Design!$AA$2:$AA$41,MATCH($B168,Shelter_Design!$A$2:$A$41,0))</f>
        <v>1</v>
      </c>
      <c r="AE168" s="3" t="s">
        <v>304</v>
      </c>
    </row>
    <row r="169" customFormat="false" ht="15" hidden="false" customHeight="true" outlineLevel="0" collapsed="false">
      <c r="A169" s="3" t="s">
        <v>471</v>
      </c>
      <c r="B169" s="3" t="s">
        <v>285</v>
      </c>
      <c r="C169" s="3" t="s">
        <v>280</v>
      </c>
      <c r="D169" s="3" t="s">
        <v>303</v>
      </c>
      <c r="E169" s="3" t="s">
        <v>20</v>
      </c>
      <c r="F169" s="3" t="s">
        <v>39</v>
      </c>
      <c r="G169" s="3" t="str">
        <f aca="false">E169&amp;"-"&amp;F169</f>
        <v>Leh-June</v>
      </c>
      <c r="H169" s="3" t="n">
        <f aca="false">INDEX(Weather_Data!$K$2:$K$73,MATCH($G169,Weather_Data!$J$2:$J$73,0))</f>
        <v>16</v>
      </c>
      <c r="I169" s="3" t="n">
        <f aca="false">INDEX(Weather_Data!$L$2:$L$73,MATCH($G169,Weather_Data!$J$2:$J$73,0))</f>
        <v>35</v>
      </c>
      <c r="J169" s="3" t="n">
        <f aca="false">INDEX(Weather_Data!$M$2:$M$73,MATCH($G169,Weather_Data!$J$2:$J$73,0))</f>
        <v>3.5</v>
      </c>
      <c r="K169" s="3" t="n">
        <f aca="false">INDEX(Weather_Data!$P$2:$P$73,MATCH($G169,Weather_Data!$J$2:$J$73,0))</f>
        <v>300</v>
      </c>
      <c r="L169" s="3" t="n">
        <f aca="false">INDEX(Weather_Data!$Q$2:$Q$73,MATCH($G169,Weather_Data!$J$2:$J$73,0))</f>
        <v>8</v>
      </c>
      <c r="M169" s="3" t="str">
        <f aca="false">INDEX(Shelter_Design!$I$2:$I$41,MATCH($B169,Shelter_Design!$A$2:$A$41,0))</f>
        <v>M12</v>
      </c>
      <c r="N169" s="3" t="n">
        <f aca="false">IFERROR(INDEX(Material_Properties!$D$2:$D$21,MATCH(M169,Material_Properties!$A$2:$A$21,0)),1)</f>
        <v>0.05</v>
      </c>
      <c r="O169" s="3" t="n">
        <f aca="false">INDEX(Shelter_Design!$M$2:$M$41,MATCH($B169,Shelter_Design!$A$2:$A$41,0))</f>
        <v>2</v>
      </c>
      <c r="P169" s="3" t="str">
        <f aca="false">INDEX(Shelter_Design!$L$2:$L$41,MATCH($B169,Shelter_Design!$A$2:$A$41,0))</f>
        <v>None</v>
      </c>
      <c r="Q169" s="3" t="n">
        <f aca="false">IF(P169="None",0,IFERROR(INDEX(Material_Properties!$D$2:$D$21,MATCH(P169,Material_Properties!$A$2:$A$21,0)),0))</f>
        <v>0</v>
      </c>
      <c r="R169" s="3" t="n">
        <f aca="false">INDEX(Shelter_Design!$O$2:$O$41,MATCH($B169,Shelter_Design!$A$2:$A$41,0))</f>
        <v>0</v>
      </c>
      <c r="S169" s="3" t="n">
        <f aca="false">(O169/1000)/N169</f>
        <v>0.04</v>
      </c>
      <c r="T169" s="3" t="n">
        <f aca="false">IF(OR(P169="None",Q169=0),0,(R169/1000)/Q169)</f>
        <v>0</v>
      </c>
      <c r="U169" s="3" t="n">
        <v>0.17</v>
      </c>
      <c r="V169" s="3" t="n">
        <f aca="false">S169+T169+U169</f>
        <v>0.21</v>
      </c>
      <c r="W169" s="3" t="n">
        <f aca="false">1/V169</f>
        <v>4.76190476190476</v>
      </c>
      <c r="X169" s="3" t="n">
        <f aca="false">INDEX(Shelter_Design!$R$2:$R$41,MATCH($B169,Shelter_Design!$A$2:$A$41,0))</f>
        <v>31.2</v>
      </c>
      <c r="Y169" s="3" t="n">
        <f aca="false">INDEX(Shelter_Design!$P$2:$P$41,MATCH($B169,Shelter_Design!$A$2:$A$41,0))</f>
        <v>1</v>
      </c>
      <c r="Z169" s="3" t="n">
        <f aca="false">INDEX(Shelter_Design!$G$2:$G$41,MATCH($B169,Shelter_Design!$A$2:$A$41,0))</f>
        <v>27.6</v>
      </c>
      <c r="AA169" s="3" t="n">
        <f aca="false">INDEX(Shelter_Design!$S$2:$S$41,MATCH($B169,Shelter_Design!$A$2:$A$41,0))</f>
        <v>0.031055900621118</v>
      </c>
      <c r="AB169" s="3" t="n">
        <f aca="false">INDEX(Shelter_Design!$Y$2:$Y$41,MATCH($B169,Shelter_Design!$A$2:$A$41,0))</f>
        <v>4</v>
      </c>
      <c r="AC169" s="3" t="str">
        <f aca="false">INDEX(Shelter_Design!$Z$2:$Z$41,MATCH($B169,Shelter_Design!$A$2:$A$41,0))</f>
        <v>Light-moderate</v>
      </c>
      <c r="AD169" s="3" t="n">
        <f aca="false">INDEX(Shelter_Design!$AA$2:$AA$41,MATCH($B169,Shelter_Design!$A$2:$A$41,0))</f>
        <v>1</v>
      </c>
      <c r="AE169" s="3" t="s">
        <v>304</v>
      </c>
    </row>
    <row r="170" customFormat="false" ht="15" hidden="false" customHeight="true" outlineLevel="0" collapsed="false">
      <c r="A170" s="3" t="s">
        <v>472</v>
      </c>
      <c r="B170" s="3" t="s">
        <v>285</v>
      </c>
      <c r="C170" s="3" t="s">
        <v>280</v>
      </c>
      <c r="D170" s="3" t="s">
        <v>303</v>
      </c>
      <c r="E170" s="3" t="s">
        <v>20</v>
      </c>
      <c r="F170" s="3" t="s">
        <v>46</v>
      </c>
      <c r="G170" s="3" t="str">
        <f aca="false">E170&amp;"-"&amp;F170</f>
        <v>Leh-September</v>
      </c>
      <c r="H170" s="3" t="n">
        <f aca="false">INDEX(Weather_Data!$K$2:$K$73,MATCH($G170,Weather_Data!$J$2:$J$73,0))</f>
        <v>14</v>
      </c>
      <c r="I170" s="3" t="n">
        <f aca="false">INDEX(Weather_Data!$L$2:$L$73,MATCH($G170,Weather_Data!$J$2:$J$73,0))</f>
        <v>35</v>
      </c>
      <c r="J170" s="3" t="n">
        <f aca="false">INDEX(Weather_Data!$M$2:$M$73,MATCH($G170,Weather_Data!$J$2:$J$73,0))</f>
        <v>3</v>
      </c>
      <c r="K170" s="3" t="n">
        <f aca="false">INDEX(Weather_Data!$P$2:$P$73,MATCH($G170,Weather_Data!$J$2:$J$73,0))</f>
        <v>250</v>
      </c>
      <c r="L170" s="3" t="n">
        <f aca="false">INDEX(Weather_Data!$Q$2:$Q$73,MATCH($G170,Weather_Data!$J$2:$J$73,0))</f>
        <v>8</v>
      </c>
      <c r="M170" s="3" t="str">
        <f aca="false">INDEX(Shelter_Design!$I$2:$I$41,MATCH($B170,Shelter_Design!$A$2:$A$41,0))</f>
        <v>M12</v>
      </c>
      <c r="N170" s="3" t="n">
        <f aca="false">IFERROR(INDEX(Material_Properties!$D$2:$D$21,MATCH(M170,Material_Properties!$A$2:$A$21,0)),1)</f>
        <v>0.05</v>
      </c>
      <c r="O170" s="3" t="n">
        <f aca="false">INDEX(Shelter_Design!$M$2:$M$41,MATCH($B170,Shelter_Design!$A$2:$A$41,0))</f>
        <v>2</v>
      </c>
      <c r="P170" s="3" t="str">
        <f aca="false">INDEX(Shelter_Design!$L$2:$L$41,MATCH($B170,Shelter_Design!$A$2:$A$41,0))</f>
        <v>None</v>
      </c>
      <c r="Q170" s="3" t="n">
        <f aca="false">IF(P170="None",0,IFERROR(INDEX(Material_Properties!$D$2:$D$21,MATCH(P170,Material_Properties!$A$2:$A$21,0)),0))</f>
        <v>0</v>
      </c>
      <c r="R170" s="3" t="n">
        <f aca="false">INDEX(Shelter_Design!$O$2:$O$41,MATCH($B170,Shelter_Design!$A$2:$A$41,0))</f>
        <v>0</v>
      </c>
      <c r="S170" s="3" t="n">
        <f aca="false">(O170/1000)/N170</f>
        <v>0.04</v>
      </c>
      <c r="T170" s="3" t="n">
        <f aca="false">IF(OR(P170="None",Q170=0),0,(R170/1000)/Q170)</f>
        <v>0</v>
      </c>
      <c r="U170" s="3" t="n">
        <v>0.17</v>
      </c>
      <c r="V170" s="3" t="n">
        <f aca="false">S170+T170+U170</f>
        <v>0.21</v>
      </c>
      <c r="W170" s="3" t="n">
        <f aca="false">1/V170</f>
        <v>4.76190476190476</v>
      </c>
      <c r="X170" s="3" t="n">
        <f aca="false">INDEX(Shelter_Design!$R$2:$R$41,MATCH($B170,Shelter_Design!$A$2:$A$41,0))</f>
        <v>31.2</v>
      </c>
      <c r="Y170" s="3" t="n">
        <f aca="false">INDEX(Shelter_Design!$P$2:$P$41,MATCH($B170,Shelter_Design!$A$2:$A$41,0))</f>
        <v>1</v>
      </c>
      <c r="Z170" s="3" t="n">
        <f aca="false">INDEX(Shelter_Design!$G$2:$G$41,MATCH($B170,Shelter_Design!$A$2:$A$41,0))</f>
        <v>27.6</v>
      </c>
      <c r="AA170" s="3" t="n">
        <f aca="false">INDEX(Shelter_Design!$S$2:$S$41,MATCH($B170,Shelter_Design!$A$2:$A$41,0))</f>
        <v>0.031055900621118</v>
      </c>
      <c r="AB170" s="3" t="n">
        <f aca="false">INDEX(Shelter_Design!$Y$2:$Y$41,MATCH($B170,Shelter_Design!$A$2:$A$41,0))</f>
        <v>4</v>
      </c>
      <c r="AC170" s="3" t="str">
        <f aca="false">INDEX(Shelter_Design!$Z$2:$Z$41,MATCH($B170,Shelter_Design!$A$2:$A$41,0))</f>
        <v>Light-moderate</v>
      </c>
      <c r="AD170" s="3" t="n">
        <f aca="false">INDEX(Shelter_Design!$AA$2:$AA$41,MATCH($B170,Shelter_Design!$A$2:$A$41,0))</f>
        <v>1</v>
      </c>
      <c r="AE170" s="3" t="s">
        <v>304</v>
      </c>
    </row>
    <row r="171" customFormat="false" ht="15" hidden="false" customHeight="true" outlineLevel="0" collapsed="false">
      <c r="A171" s="3" t="s">
        <v>473</v>
      </c>
      <c r="B171" s="3" t="s">
        <v>285</v>
      </c>
      <c r="C171" s="3" t="s">
        <v>280</v>
      </c>
      <c r="D171" s="3" t="s">
        <v>303</v>
      </c>
      <c r="E171" s="3" t="s">
        <v>67</v>
      </c>
      <c r="F171" s="3" t="s">
        <v>22</v>
      </c>
      <c r="G171" s="3" t="str">
        <f aca="false">E171&amp;"-"&amp;F171</f>
        <v>Chennai-January</v>
      </c>
      <c r="H171" s="3" t="n">
        <f aca="false">INDEX(Weather_Data!$K$2:$K$73,MATCH($G171,Weather_Data!$J$2:$J$73,0))</f>
        <v>25</v>
      </c>
      <c r="I171" s="3" t="n">
        <f aca="false">INDEX(Weather_Data!$L$2:$L$73,MATCH($G171,Weather_Data!$J$2:$J$73,0))</f>
        <v>72</v>
      </c>
      <c r="J171" s="3" t="n">
        <f aca="false">INDEX(Weather_Data!$M$2:$M$73,MATCH($G171,Weather_Data!$J$2:$J$73,0))</f>
        <v>3</v>
      </c>
      <c r="K171" s="3" t="n">
        <f aca="false">INDEX(Weather_Data!$P$2:$P$73,MATCH($G171,Weather_Data!$J$2:$J$73,0))</f>
        <v>187.5</v>
      </c>
      <c r="L171" s="3" t="n">
        <f aca="false">INDEX(Weather_Data!$Q$2:$Q$73,MATCH($G171,Weather_Data!$J$2:$J$73,0))</f>
        <v>25</v>
      </c>
      <c r="M171" s="3" t="str">
        <f aca="false">INDEX(Shelter_Design!$I$2:$I$41,MATCH($B171,Shelter_Design!$A$2:$A$41,0))</f>
        <v>M12</v>
      </c>
      <c r="N171" s="3" t="n">
        <f aca="false">IFERROR(INDEX(Material_Properties!$D$2:$D$21,MATCH(M171,Material_Properties!$A$2:$A$21,0)),1)</f>
        <v>0.05</v>
      </c>
      <c r="O171" s="3" t="n">
        <f aca="false">INDEX(Shelter_Design!$M$2:$M$41,MATCH($B171,Shelter_Design!$A$2:$A$41,0))</f>
        <v>2</v>
      </c>
      <c r="P171" s="3" t="str">
        <f aca="false">INDEX(Shelter_Design!$L$2:$L$41,MATCH($B171,Shelter_Design!$A$2:$A$41,0))</f>
        <v>None</v>
      </c>
      <c r="Q171" s="3" t="n">
        <f aca="false">IF(P171="None",0,IFERROR(INDEX(Material_Properties!$D$2:$D$21,MATCH(P171,Material_Properties!$A$2:$A$21,0)),0))</f>
        <v>0</v>
      </c>
      <c r="R171" s="3" t="n">
        <f aca="false">INDEX(Shelter_Design!$O$2:$O$41,MATCH($B171,Shelter_Design!$A$2:$A$41,0))</f>
        <v>0</v>
      </c>
      <c r="S171" s="3" t="n">
        <f aca="false">(O171/1000)/N171</f>
        <v>0.04</v>
      </c>
      <c r="T171" s="3" t="n">
        <f aca="false">IF(OR(P171="None",Q171=0),0,(R171/1000)/Q171)</f>
        <v>0</v>
      </c>
      <c r="U171" s="3" t="n">
        <v>0.17</v>
      </c>
      <c r="V171" s="3" t="n">
        <f aca="false">S171+T171+U171</f>
        <v>0.21</v>
      </c>
      <c r="W171" s="3" t="n">
        <f aca="false">1/V171</f>
        <v>4.76190476190476</v>
      </c>
      <c r="X171" s="3" t="n">
        <f aca="false">INDEX(Shelter_Design!$R$2:$R$41,MATCH($B171,Shelter_Design!$A$2:$A$41,0))</f>
        <v>31.2</v>
      </c>
      <c r="Y171" s="3" t="n">
        <f aca="false">INDEX(Shelter_Design!$P$2:$P$41,MATCH($B171,Shelter_Design!$A$2:$A$41,0))</f>
        <v>1</v>
      </c>
      <c r="Z171" s="3" t="n">
        <f aca="false">INDEX(Shelter_Design!$G$2:$G$41,MATCH($B171,Shelter_Design!$A$2:$A$41,0))</f>
        <v>27.6</v>
      </c>
      <c r="AA171" s="3" t="n">
        <f aca="false">INDEX(Shelter_Design!$S$2:$S$41,MATCH($B171,Shelter_Design!$A$2:$A$41,0))</f>
        <v>0.031055900621118</v>
      </c>
      <c r="AB171" s="3" t="n">
        <f aca="false">INDEX(Shelter_Design!$Y$2:$Y$41,MATCH($B171,Shelter_Design!$A$2:$A$41,0))</f>
        <v>4</v>
      </c>
      <c r="AC171" s="3" t="str">
        <f aca="false">INDEX(Shelter_Design!$Z$2:$Z$41,MATCH($B171,Shelter_Design!$A$2:$A$41,0))</f>
        <v>Light-moderate</v>
      </c>
      <c r="AD171" s="3" t="n">
        <f aca="false">INDEX(Shelter_Design!$AA$2:$AA$41,MATCH($B171,Shelter_Design!$A$2:$A$41,0))</f>
        <v>1</v>
      </c>
      <c r="AE171" s="3" t="s">
        <v>304</v>
      </c>
    </row>
    <row r="172" customFormat="false" ht="15" hidden="false" customHeight="true" outlineLevel="0" collapsed="false">
      <c r="A172" s="3" t="s">
        <v>474</v>
      </c>
      <c r="B172" s="3" t="s">
        <v>285</v>
      </c>
      <c r="C172" s="3" t="s">
        <v>280</v>
      </c>
      <c r="D172" s="3" t="s">
        <v>303</v>
      </c>
      <c r="E172" s="3" t="s">
        <v>67</v>
      </c>
      <c r="F172" s="3" t="s">
        <v>39</v>
      </c>
      <c r="G172" s="3" t="str">
        <f aca="false">E172&amp;"-"&amp;F172</f>
        <v>Chennai-June</v>
      </c>
      <c r="H172" s="3" t="n">
        <f aca="false">INDEX(Weather_Data!$K$2:$K$73,MATCH($G172,Weather_Data!$J$2:$J$73,0))</f>
        <v>33</v>
      </c>
      <c r="I172" s="3" t="n">
        <f aca="false">INDEX(Weather_Data!$L$2:$L$73,MATCH($G172,Weather_Data!$J$2:$J$73,0))</f>
        <v>60</v>
      </c>
      <c r="J172" s="3" t="n">
        <f aca="false">INDEX(Weather_Data!$M$2:$M$73,MATCH($G172,Weather_Data!$J$2:$J$73,0))</f>
        <v>4</v>
      </c>
      <c r="K172" s="3" t="n">
        <f aca="false">INDEX(Weather_Data!$P$2:$P$73,MATCH($G172,Weather_Data!$J$2:$J$73,0))</f>
        <v>229.166666666667</v>
      </c>
      <c r="L172" s="3" t="n">
        <f aca="false">INDEX(Weather_Data!$Q$2:$Q$73,MATCH($G172,Weather_Data!$J$2:$J$73,0))</f>
        <v>50</v>
      </c>
      <c r="M172" s="3" t="str">
        <f aca="false">INDEX(Shelter_Design!$I$2:$I$41,MATCH($B172,Shelter_Design!$A$2:$A$41,0))</f>
        <v>M12</v>
      </c>
      <c r="N172" s="3" t="n">
        <f aca="false">IFERROR(INDEX(Material_Properties!$D$2:$D$21,MATCH(M172,Material_Properties!$A$2:$A$21,0)),1)</f>
        <v>0.05</v>
      </c>
      <c r="O172" s="3" t="n">
        <f aca="false">INDEX(Shelter_Design!$M$2:$M$41,MATCH($B172,Shelter_Design!$A$2:$A$41,0))</f>
        <v>2</v>
      </c>
      <c r="P172" s="3" t="str">
        <f aca="false">INDEX(Shelter_Design!$L$2:$L$41,MATCH($B172,Shelter_Design!$A$2:$A$41,0))</f>
        <v>None</v>
      </c>
      <c r="Q172" s="3" t="n">
        <f aca="false">IF(P172="None",0,IFERROR(INDEX(Material_Properties!$D$2:$D$21,MATCH(P172,Material_Properties!$A$2:$A$21,0)),0))</f>
        <v>0</v>
      </c>
      <c r="R172" s="3" t="n">
        <f aca="false">INDEX(Shelter_Design!$O$2:$O$41,MATCH($B172,Shelter_Design!$A$2:$A$41,0))</f>
        <v>0</v>
      </c>
      <c r="S172" s="3" t="n">
        <f aca="false">(O172/1000)/N172</f>
        <v>0.04</v>
      </c>
      <c r="T172" s="3" t="n">
        <f aca="false">IF(OR(P172="None",Q172=0),0,(R172/1000)/Q172)</f>
        <v>0</v>
      </c>
      <c r="U172" s="3" t="n">
        <v>0.17</v>
      </c>
      <c r="V172" s="3" t="n">
        <f aca="false">S172+T172+U172</f>
        <v>0.21</v>
      </c>
      <c r="W172" s="3" t="n">
        <f aca="false">1/V172</f>
        <v>4.76190476190476</v>
      </c>
      <c r="X172" s="3" t="n">
        <f aca="false">INDEX(Shelter_Design!$R$2:$R$41,MATCH($B172,Shelter_Design!$A$2:$A$41,0))</f>
        <v>31.2</v>
      </c>
      <c r="Y172" s="3" t="n">
        <f aca="false">INDEX(Shelter_Design!$P$2:$P$41,MATCH($B172,Shelter_Design!$A$2:$A$41,0))</f>
        <v>1</v>
      </c>
      <c r="Z172" s="3" t="n">
        <f aca="false">INDEX(Shelter_Design!$G$2:$G$41,MATCH($B172,Shelter_Design!$A$2:$A$41,0))</f>
        <v>27.6</v>
      </c>
      <c r="AA172" s="3" t="n">
        <f aca="false">INDEX(Shelter_Design!$S$2:$S$41,MATCH($B172,Shelter_Design!$A$2:$A$41,0))</f>
        <v>0.031055900621118</v>
      </c>
      <c r="AB172" s="3" t="n">
        <f aca="false">INDEX(Shelter_Design!$Y$2:$Y$41,MATCH($B172,Shelter_Design!$A$2:$A$41,0))</f>
        <v>4</v>
      </c>
      <c r="AC172" s="3" t="str">
        <f aca="false">INDEX(Shelter_Design!$Z$2:$Z$41,MATCH($B172,Shelter_Design!$A$2:$A$41,0))</f>
        <v>Light-moderate</v>
      </c>
      <c r="AD172" s="3" t="n">
        <f aca="false">INDEX(Shelter_Design!$AA$2:$AA$41,MATCH($B172,Shelter_Design!$A$2:$A$41,0))</f>
        <v>1</v>
      </c>
      <c r="AE172" s="3" t="s">
        <v>304</v>
      </c>
    </row>
    <row r="173" customFormat="false" ht="15" hidden="false" customHeight="true" outlineLevel="0" collapsed="false">
      <c r="A173" s="3" t="s">
        <v>475</v>
      </c>
      <c r="B173" s="3" t="s">
        <v>285</v>
      </c>
      <c r="C173" s="3" t="s">
        <v>280</v>
      </c>
      <c r="D173" s="3" t="s">
        <v>303</v>
      </c>
      <c r="E173" s="3" t="s">
        <v>67</v>
      </c>
      <c r="F173" s="3" t="s">
        <v>46</v>
      </c>
      <c r="G173" s="3" t="str">
        <f aca="false">E173&amp;"-"&amp;F173</f>
        <v>Chennai-September</v>
      </c>
      <c r="H173" s="3" t="n">
        <f aca="false">INDEX(Weather_Data!$K$2:$K$73,MATCH($G173,Weather_Data!$J$2:$J$73,0))</f>
        <v>30</v>
      </c>
      <c r="I173" s="3" t="n">
        <f aca="false">INDEX(Weather_Data!$L$2:$L$73,MATCH($G173,Weather_Data!$J$2:$J$73,0))</f>
        <v>72</v>
      </c>
      <c r="J173" s="3" t="n">
        <f aca="false">INDEX(Weather_Data!$M$2:$M$73,MATCH($G173,Weather_Data!$J$2:$J$73,0))</f>
        <v>3.5</v>
      </c>
      <c r="K173" s="3" t="n">
        <f aca="false">INDEX(Weather_Data!$P$2:$P$73,MATCH($G173,Weather_Data!$J$2:$J$73,0))</f>
        <v>216.666666666667</v>
      </c>
      <c r="L173" s="3" t="n">
        <f aca="false">INDEX(Weather_Data!$Q$2:$Q$73,MATCH($G173,Weather_Data!$J$2:$J$73,0))</f>
        <v>120</v>
      </c>
      <c r="M173" s="3" t="str">
        <f aca="false">INDEX(Shelter_Design!$I$2:$I$41,MATCH($B173,Shelter_Design!$A$2:$A$41,0))</f>
        <v>M12</v>
      </c>
      <c r="N173" s="3" t="n">
        <f aca="false">IFERROR(INDEX(Material_Properties!$D$2:$D$21,MATCH(M173,Material_Properties!$A$2:$A$21,0)),1)</f>
        <v>0.05</v>
      </c>
      <c r="O173" s="3" t="n">
        <f aca="false">INDEX(Shelter_Design!$M$2:$M$41,MATCH($B173,Shelter_Design!$A$2:$A$41,0))</f>
        <v>2</v>
      </c>
      <c r="P173" s="3" t="str">
        <f aca="false">INDEX(Shelter_Design!$L$2:$L$41,MATCH($B173,Shelter_Design!$A$2:$A$41,0))</f>
        <v>None</v>
      </c>
      <c r="Q173" s="3" t="n">
        <f aca="false">IF(P173="None",0,IFERROR(INDEX(Material_Properties!$D$2:$D$21,MATCH(P173,Material_Properties!$A$2:$A$21,0)),0))</f>
        <v>0</v>
      </c>
      <c r="R173" s="3" t="n">
        <f aca="false">INDEX(Shelter_Design!$O$2:$O$41,MATCH($B173,Shelter_Design!$A$2:$A$41,0))</f>
        <v>0</v>
      </c>
      <c r="S173" s="3" t="n">
        <f aca="false">(O173/1000)/N173</f>
        <v>0.04</v>
      </c>
      <c r="T173" s="3" t="n">
        <f aca="false">IF(OR(P173="None",Q173=0),0,(R173/1000)/Q173)</f>
        <v>0</v>
      </c>
      <c r="U173" s="3" t="n">
        <v>0.17</v>
      </c>
      <c r="V173" s="3" t="n">
        <f aca="false">S173+T173+U173</f>
        <v>0.21</v>
      </c>
      <c r="W173" s="3" t="n">
        <f aca="false">1/V173</f>
        <v>4.76190476190476</v>
      </c>
      <c r="X173" s="3" t="n">
        <f aca="false">INDEX(Shelter_Design!$R$2:$R$41,MATCH($B173,Shelter_Design!$A$2:$A$41,0))</f>
        <v>31.2</v>
      </c>
      <c r="Y173" s="3" t="n">
        <f aca="false">INDEX(Shelter_Design!$P$2:$P$41,MATCH($B173,Shelter_Design!$A$2:$A$41,0))</f>
        <v>1</v>
      </c>
      <c r="Z173" s="3" t="n">
        <f aca="false">INDEX(Shelter_Design!$G$2:$G$41,MATCH($B173,Shelter_Design!$A$2:$A$41,0))</f>
        <v>27.6</v>
      </c>
      <c r="AA173" s="3" t="n">
        <f aca="false">INDEX(Shelter_Design!$S$2:$S$41,MATCH($B173,Shelter_Design!$A$2:$A$41,0))</f>
        <v>0.031055900621118</v>
      </c>
      <c r="AB173" s="3" t="n">
        <f aca="false">INDEX(Shelter_Design!$Y$2:$Y$41,MATCH($B173,Shelter_Design!$A$2:$A$41,0))</f>
        <v>4</v>
      </c>
      <c r="AC173" s="3" t="str">
        <f aca="false">INDEX(Shelter_Design!$Z$2:$Z$41,MATCH($B173,Shelter_Design!$A$2:$A$41,0))</f>
        <v>Light-moderate</v>
      </c>
      <c r="AD173" s="3" t="n">
        <f aca="false">INDEX(Shelter_Design!$AA$2:$AA$41,MATCH($B173,Shelter_Design!$A$2:$A$41,0))</f>
        <v>1</v>
      </c>
      <c r="AE173" s="3" t="s">
        <v>304</v>
      </c>
    </row>
    <row r="174" customFormat="false" ht="15" hidden="false" customHeight="true" outlineLevel="0" collapsed="false">
      <c r="A174" s="3" t="s">
        <v>476</v>
      </c>
      <c r="B174" s="3" t="s">
        <v>286</v>
      </c>
      <c r="C174" s="3" t="s">
        <v>280</v>
      </c>
      <c r="D174" s="3" t="s">
        <v>303</v>
      </c>
      <c r="E174" s="3" t="s">
        <v>20</v>
      </c>
      <c r="F174" s="3" t="s">
        <v>22</v>
      </c>
      <c r="G174" s="3" t="str">
        <f aca="false">E174&amp;"-"&amp;F174</f>
        <v>Leh-January</v>
      </c>
      <c r="H174" s="3" t="n">
        <f aca="false">INDEX(Weather_Data!$K$2:$K$73,MATCH($G174,Weather_Data!$J$2:$J$73,0))</f>
        <v>-8</v>
      </c>
      <c r="I174" s="3" t="n">
        <f aca="false">INDEX(Weather_Data!$L$2:$L$73,MATCH($G174,Weather_Data!$J$2:$J$73,0))</f>
        <v>25</v>
      </c>
      <c r="J174" s="3" t="n">
        <f aca="false">INDEX(Weather_Data!$M$2:$M$73,MATCH($G174,Weather_Data!$J$2:$J$73,0))</f>
        <v>2</v>
      </c>
      <c r="K174" s="3" t="n">
        <f aca="false">INDEX(Weather_Data!$P$2:$P$73,MATCH($G174,Weather_Data!$J$2:$J$73,0))</f>
        <v>166.666666666667</v>
      </c>
      <c r="L174" s="3" t="n">
        <f aca="false">INDEX(Weather_Data!$Q$2:$Q$73,MATCH($G174,Weather_Data!$J$2:$J$73,0))</f>
        <v>5</v>
      </c>
      <c r="M174" s="3" t="str">
        <f aca="false">INDEX(Shelter_Design!$I$2:$I$41,MATCH($B174,Shelter_Design!$A$2:$A$41,0))</f>
        <v>M12</v>
      </c>
      <c r="N174" s="3" t="n">
        <f aca="false">IFERROR(INDEX(Material_Properties!$D$2:$D$21,MATCH(M174,Material_Properties!$A$2:$A$21,0)),1)</f>
        <v>0.05</v>
      </c>
      <c r="O174" s="3" t="n">
        <f aca="false">INDEX(Shelter_Design!$M$2:$M$41,MATCH($B174,Shelter_Design!$A$2:$A$41,0))</f>
        <v>2</v>
      </c>
      <c r="P174" s="3" t="str">
        <f aca="false">INDEX(Shelter_Design!$L$2:$L$41,MATCH($B174,Shelter_Design!$A$2:$A$41,0))</f>
        <v>M07</v>
      </c>
      <c r="Q174" s="3" t="n">
        <f aca="false">IF(P174="None",0,IFERROR(INDEX(Material_Properties!$D$2:$D$21,MATCH(P174,Material_Properties!$A$2:$A$21,0)),0))</f>
        <v>0.036</v>
      </c>
      <c r="R174" s="3" t="n">
        <f aca="false">INDEX(Shelter_Design!$O$2:$O$41,MATCH($B174,Shelter_Design!$A$2:$A$41,0))</f>
        <v>25</v>
      </c>
      <c r="S174" s="3" t="n">
        <f aca="false">(O174/1000)/N174</f>
        <v>0.04</v>
      </c>
      <c r="T174" s="3" t="n">
        <f aca="false">IF(OR(P174="None",Q174=0),0,(R174/1000)/Q174)</f>
        <v>0.694444444444445</v>
      </c>
      <c r="U174" s="3" t="n">
        <v>0.17</v>
      </c>
      <c r="V174" s="3" t="n">
        <f aca="false">S174+T174+U174</f>
        <v>0.904444444444445</v>
      </c>
      <c r="W174" s="3" t="n">
        <f aca="false">1/V174</f>
        <v>1.10565110565111</v>
      </c>
      <c r="X174" s="3" t="n">
        <f aca="false">INDEX(Shelter_Design!$R$2:$R$41,MATCH($B174,Shelter_Design!$A$2:$A$41,0))</f>
        <v>25.4</v>
      </c>
      <c r="Y174" s="3" t="n">
        <f aca="false">INDEX(Shelter_Design!$P$2:$P$41,MATCH($B174,Shelter_Design!$A$2:$A$41,0))</f>
        <v>1</v>
      </c>
      <c r="Z174" s="3" t="n">
        <f aca="false">INDEX(Shelter_Design!$G$2:$G$41,MATCH($B174,Shelter_Design!$A$2:$A$41,0))</f>
        <v>19.8</v>
      </c>
      <c r="AA174" s="3" t="n">
        <f aca="false">INDEX(Shelter_Design!$S$2:$S$41,MATCH($B174,Shelter_Design!$A$2:$A$41,0))</f>
        <v>0.0378787878787879</v>
      </c>
      <c r="AB174" s="3" t="n">
        <f aca="false">INDEX(Shelter_Design!$Y$2:$Y$41,MATCH($B174,Shelter_Design!$A$2:$A$41,0))</f>
        <v>2</v>
      </c>
      <c r="AC174" s="3" t="str">
        <f aca="false">INDEX(Shelter_Design!$Z$2:$Z$41,MATCH($B174,Shelter_Design!$A$2:$A$41,0))</f>
        <v>Light-moderate</v>
      </c>
      <c r="AD174" s="3" t="n">
        <f aca="false">INDEX(Shelter_Design!$AA$2:$AA$41,MATCH($B174,Shelter_Design!$A$2:$A$41,0))</f>
        <v>1</v>
      </c>
      <c r="AE174" s="3" t="s">
        <v>304</v>
      </c>
    </row>
    <row r="175" customFormat="false" ht="15" hidden="false" customHeight="true" outlineLevel="0" collapsed="false">
      <c r="A175" s="3" t="s">
        <v>477</v>
      </c>
      <c r="B175" s="3" t="s">
        <v>286</v>
      </c>
      <c r="C175" s="3" t="s">
        <v>280</v>
      </c>
      <c r="D175" s="3" t="s">
        <v>303</v>
      </c>
      <c r="E175" s="3" t="s">
        <v>20</v>
      </c>
      <c r="F175" s="3" t="s">
        <v>39</v>
      </c>
      <c r="G175" s="3" t="str">
        <f aca="false">E175&amp;"-"&amp;F175</f>
        <v>Leh-June</v>
      </c>
      <c r="H175" s="3" t="n">
        <f aca="false">INDEX(Weather_Data!$K$2:$K$73,MATCH($G175,Weather_Data!$J$2:$J$73,0))</f>
        <v>16</v>
      </c>
      <c r="I175" s="3" t="n">
        <f aca="false">INDEX(Weather_Data!$L$2:$L$73,MATCH($G175,Weather_Data!$J$2:$J$73,0))</f>
        <v>35</v>
      </c>
      <c r="J175" s="3" t="n">
        <f aca="false">INDEX(Weather_Data!$M$2:$M$73,MATCH($G175,Weather_Data!$J$2:$J$73,0))</f>
        <v>3.5</v>
      </c>
      <c r="K175" s="3" t="n">
        <f aca="false">INDEX(Weather_Data!$P$2:$P$73,MATCH($G175,Weather_Data!$J$2:$J$73,0))</f>
        <v>300</v>
      </c>
      <c r="L175" s="3" t="n">
        <f aca="false">INDEX(Weather_Data!$Q$2:$Q$73,MATCH($G175,Weather_Data!$J$2:$J$73,0))</f>
        <v>8</v>
      </c>
      <c r="M175" s="3" t="str">
        <f aca="false">INDEX(Shelter_Design!$I$2:$I$41,MATCH($B175,Shelter_Design!$A$2:$A$41,0))</f>
        <v>M12</v>
      </c>
      <c r="N175" s="3" t="n">
        <f aca="false">IFERROR(INDEX(Material_Properties!$D$2:$D$21,MATCH(M175,Material_Properties!$A$2:$A$21,0)),1)</f>
        <v>0.05</v>
      </c>
      <c r="O175" s="3" t="n">
        <f aca="false">INDEX(Shelter_Design!$M$2:$M$41,MATCH($B175,Shelter_Design!$A$2:$A$41,0))</f>
        <v>2</v>
      </c>
      <c r="P175" s="3" t="str">
        <f aca="false">INDEX(Shelter_Design!$L$2:$L$41,MATCH($B175,Shelter_Design!$A$2:$A$41,0))</f>
        <v>M07</v>
      </c>
      <c r="Q175" s="3" t="n">
        <f aca="false">IF(P175="None",0,IFERROR(INDEX(Material_Properties!$D$2:$D$21,MATCH(P175,Material_Properties!$A$2:$A$21,0)),0))</f>
        <v>0.036</v>
      </c>
      <c r="R175" s="3" t="n">
        <f aca="false">INDEX(Shelter_Design!$O$2:$O$41,MATCH($B175,Shelter_Design!$A$2:$A$41,0))</f>
        <v>25</v>
      </c>
      <c r="S175" s="3" t="n">
        <f aca="false">(O175/1000)/N175</f>
        <v>0.04</v>
      </c>
      <c r="T175" s="3" t="n">
        <f aca="false">IF(OR(P175="None",Q175=0),0,(R175/1000)/Q175)</f>
        <v>0.694444444444445</v>
      </c>
      <c r="U175" s="3" t="n">
        <v>0.17</v>
      </c>
      <c r="V175" s="3" t="n">
        <f aca="false">S175+T175+U175</f>
        <v>0.904444444444445</v>
      </c>
      <c r="W175" s="3" t="n">
        <f aca="false">1/V175</f>
        <v>1.10565110565111</v>
      </c>
      <c r="X175" s="3" t="n">
        <f aca="false">INDEX(Shelter_Design!$R$2:$R$41,MATCH($B175,Shelter_Design!$A$2:$A$41,0))</f>
        <v>25.4</v>
      </c>
      <c r="Y175" s="3" t="n">
        <f aca="false">INDEX(Shelter_Design!$P$2:$P$41,MATCH($B175,Shelter_Design!$A$2:$A$41,0))</f>
        <v>1</v>
      </c>
      <c r="Z175" s="3" t="n">
        <f aca="false">INDEX(Shelter_Design!$G$2:$G$41,MATCH($B175,Shelter_Design!$A$2:$A$41,0))</f>
        <v>19.8</v>
      </c>
      <c r="AA175" s="3" t="n">
        <f aca="false">INDEX(Shelter_Design!$S$2:$S$41,MATCH($B175,Shelter_Design!$A$2:$A$41,0))</f>
        <v>0.0378787878787879</v>
      </c>
      <c r="AB175" s="3" t="n">
        <f aca="false">INDEX(Shelter_Design!$Y$2:$Y$41,MATCH($B175,Shelter_Design!$A$2:$A$41,0))</f>
        <v>2</v>
      </c>
      <c r="AC175" s="3" t="str">
        <f aca="false">INDEX(Shelter_Design!$Z$2:$Z$41,MATCH($B175,Shelter_Design!$A$2:$A$41,0))</f>
        <v>Light-moderate</v>
      </c>
      <c r="AD175" s="3" t="n">
        <f aca="false">INDEX(Shelter_Design!$AA$2:$AA$41,MATCH($B175,Shelter_Design!$A$2:$A$41,0))</f>
        <v>1</v>
      </c>
      <c r="AE175" s="3" t="s">
        <v>304</v>
      </c>
    </row>
    <row r="176" customFormat="false" ht="15" hidden="false" customHeight="true" outlineLevel="0" collapsed="false">
      <c r="A176" s="3" t="s">
        <v>478</v>
      </c>
      <c r="B176" s="3" t="s">
        <v>286</v>
      </c>
      <c r="C176" s="3" t="s">
        <v>280</v>
      </c>
      <c r="D176" s="3" t="s">
        <v>303</v>
      </c>
      <c r="E176" s="3" t="s">
        <v>20</v>
      </c>
      <c r="F176" s="3" t="s">
        <v>46</v>
      </c>
      <c r="G176" s="3" t="str">
        <f aca="false">E176&amp;"-"&amp;F176</f>
        <v>Leh-September</v>
      </c>
      <c r="H176" s="3" t="n">
        <f aca="false">INDEX(Weather_Data!$K$2:$K$73,MATCH($G176,Weather_Data!$J$2:$J$73,0))</f>
        <v>14</v>
      </c>
      <c r="I176" s="3" t="n">
        <f aca="false">INDEX(Weather_Data!$L$2:$L$73,MATCH($G176,Weather_Data!$J$2:$J$73,0))</f>
        <v>35</v>
      </c>
      <c r="J176" s="3" t="n">
        <f aca="false">INDEX(Weather_Data!$M$2:$M$73,MATCH($G176,Weather_Data!$J$2:$J$73,0))</f>
        <v>3</v>
      </c>
      <c r="K176" s="3" t="n">
        <f aca="false">INDEX(Weather_Data!$P$2:$P$73,MATCH($G176,Weather_Data!$J$2:$J$73,0))</f>
        <v>250</v>
      </c>
      <c r="L176" s="3" t="n">
        <f aca="false">INDEX(Weather_Data!$Q$2:$Q$73,MATCH($G176,Weather_Data!$J$2:$J$73,0))</f>
        <v>8</v>
      </c>
      <c r="M176" s="3" t="str">
        <f aca="false">INDEX(Shelter_Design!$I$2:$I$41,MATCH($B176,Shelter_Design!$A$2:$A$41,0))</f>
        <v>M12</v>
      </c>
      <c r="N176" s="3" t="n">
        <f aca="false">IFERROR(INDEX(Material_Properties!$D$2:$D$21,MATCH(M176,Material_Properties!$A$2:$A$21,0)),1)</f>
        <v>0.05</v>
      </c>
      <c r="O176" s="3" t="n">
        <f aca="false">INDEX(Shelter_Design!$M$2:$M$41,MATCH($B176,Shelter_Design!$A$2:$A$41,0))</f>
        <v>2</v>
      </c>
      <c r="P176" s="3" t="str">
        <f aca="false">INDEX(Shelter_Design!$L$2:$L$41,MATCH($B176,Shelter_Design!$A$2:$A$41,0))</f>
        <v>M07</v>
      </c>
      <c r="Q176" s="3" t="n">
        <f aca="false">IF(P176="None",0,IFERROR(INDEX(Material_Properties!$D$2:$D$21,MATCH(P176,Material_Properties!$A$2:$A$21,0)),0))</f>
        <v>0.036</v>
      </c>
      <c r="R176" s="3" t="n">
        <f aca="false">INDEX(Shelter_Design!$O$2:$O$41,MATCH($B176,Shelter_Design!$A$2:$A$41,0))</f>
        <v>25</v>
      </c>
      <c r="S176" s="3" t="n">
        <f aca="false">(O176/1000)/N176</f>
        <v>0.04</v>
      </c>
      <c r="T176" s="3" t="n">
        <f aca="false">IF(OR(P176="None",Q176=0),0,(R176/1000)/Q176)</f>
        <v>0.694444444444445</v>
      </c>
      <c r="U176" s="3" t="n">
        <v>0.17</v>
      </c>
      <c r="V176" s="3" t="n">
        <f aca="false">S176+T176+U176</f>
        <v>0.904444444444445</v>
      </c>
      <c r="W176" s="3" t="n">
        <f aca="false">1/V176</f>
        <v>1.10565110565111</v>
      </c>
      <c r="X176" s="3" t="n">
        <f aca="false">INDEX(Shelter_Design!$R$2:$R$41,MATCH($B176,Shelter_Design!$A$2:$A$41,0))</f>
        <v>25.4</v>
      </c>
      <c r="Y176" s="3" t="n">
        <f aca="false">INDEX(Shelter_Design!$P$2:$P$41,MATCH($B176,Shelter_Design!$A$2:$A$41,0))</f>
        <v>1</v>
      </c>
      <c r="Z176" s="3" t="n">
        <f aca="false">INDEX(Shelter_Design!$G$2:$G$41,MATCH($B176,Shelter_Design!$A$2:$A$41,0))</f>
        <v>19.8</v>
      </c>
      <c r="AA176" s="3" t="n">
        <f aca="false">INDEX(Shelter_Design!$S$2:$S$41,MATCH($B176,Shelter_Design!$A$2:$A$41,0))</f>
        <v>0.0378787878787879</v>
      </c>
      <c r="AB176" s="3" t="n">
        <f aca="false">INDEX(Shelter_Design!$Y$2:$Y$41,MATCH($B176,Shelter_Design!$A$2:$A$41,0))</f>
        <v>2</v>
      </c>
      <c r="AC176" s="3" t="str">
        <f aca="false">INDEX(Shelter_Design!$Z$2:$Z$41,MATCH($B176,Shelter_Design!$A$2:$A$41,0))</f>
        <v>Light-moderate</v>
      </c>
      <c r="AD176" s="3" t="n">
        <f aca="false">INDEX(Shelter_Design!$AA$2:$AA$41,MATCH($B176,Shelter_Design!$A$2:$A$41,0))</f>
        <v>1</v>
      </c>
      <c r="AE176" s="3" t="s">
        <v>304</v>
      </c>
    </row>
    <row r="177" customFormat="false" ht="15" hidden="false" customHeight="true" outlineLevel="0" collapsed="false">
      <c r="A177" s="3" t="s">
        <v>479</v>
      </c>
      <c r="B177" s="3" t="s">
        <v>286</v>
      </c>
      <c r="C177" s="3" t="s">
        <v>280</v>
      </c>
      <c r="D177" s="3" t="s">
        <v>303</v>
      </c>
      <c r="E177" s="3" t="s">
        <v>67</v>
      </c>
      <c r="F177" s="3" t="s">
        <v>22</v>
      </c>
      <c r="G177" s="3" t="str">
        <f aca="false">E177&amp;"-"&amp;F177</f>
        <v>Chennai-January</v>
      </c>
      <c r="H177" s="3" t="n">
        <f aca="false">INDEX(Weather_Data!$K$2:$K$73,MATCH($G177,Weather_Data!$J$2:$J$73,0))</f>
        <v>25</v>
      </c>
      <c r="I177" s="3" t="n">
        <f aca="false">INDEX(Weather_Data!$L$2:$L$73,MATCH($G177,Weather_Data!$J$2:$J$73,0))</f>
        <v>72</v>
      </c>
      <c r="J177" s="3" t="n">
        <f aca="false">INDEX(Weather_Data!$M$2:$M$73,MATCH($G177,Weather_Data!$J$2:$J$73,0))</f>
        <v>3</v>
      </c>
      <c r="K177" s="3" t="n">
        <f aca="false">INDEX(Weather_Data!$P$2:$P$73,MATCH($G177,Weather_Data!$J$2:$J$73,0))</f>
        <v>187.5</v>
      </c>
      <c r="L177" s="3" t="n">
        <f aca="false">INDEX(Weather_Data!$Q$2:$Q$73,MATCH($G177,Weather_Data!$J$2:$J$73,0))</f>
        <v>25</v>
      </c>
      <c r="M177" s="3" t="str">
        <f aca="false">INDEX(Shelter_Design!$I$2:$I$41,MATCH($B177,Shelter_Design!$A$2:$A$41,0))</f>
        <v>M12</v>
      </c>
      <c r="N177" s="3" t="n">
        <f aca="false">IFERROR(INDEX(Material_Properties!$D$2:$D$21,MATCH(M177,Material_Properties!$A$2:$A$21,0)),1)</f>
        <v>0.05</v>
      </c>
      <c r="O177" s="3" t="n">
        <f aca="false">INDEX(Shelter_Design!$M$2:$M$41,MATCH($B177,Shelter_Design!$A$2:$A$41,0))</f>
        <v>2</v>
      </c>
      <c r="P177" s="3" t="str">
        <f aca="false">INDEX(Shelter_Design!$L$2:$L$41,MATCH($B177,Shelter_Design!$A$2:$A$41,0))</f>
        <v>M07</v>
      </c>
      <c r="Q177" s="3" t="n">
        <f aca="false">IF(P177="None",0,IFERROR(INDEX(Material_Properties!$D$2:$D$21,MATCH(P177,Material_Properties!$A$2:$A$21,0)),0))</f>
        <v>0.036</v>
      </c>
      <c r="R177" s="3" t="n">
        <f aca="false">INDEX(Shelter_Design!$O$2:$O$41,MATCH($B177,Shelter_Design!$A$2:$A$41,0))</f>
        <v>25</v>
      </c>
      <c r="S177" s="3" t="n">
        <f aca="false">(O177/1000)/N177</f>
        <v>0.04</v>
      </c>
      <c r="T177" s="3" t="n">
        <f aca="false">IF(OR(P177="None",Q177=0),0,(R177/1000)/Q177)</f>
        <v>0.694444444444445</v>
      </c>
      <c r="U177" s="3" t="n">
        <v>0.17</v>
      </c>
      <c r="V177" s="3" t="n">
        <f aca="false">S177+T177+U177</f>
        <v>0.904444444444445</v>
      </c>
      <c r="W177" s="3" t="n">
        <f aca="false">1/V177</f>
        <v>1.10565110565111</v>
      </c>
      <c r="X177" s="3" t="n">
        <f aca="false">INDEX(Shelter_Design!$R$2:$R$41,MATCH($B177,Shelter_Design!$A$2:$A$41,0))</f>
        <v>25.4</v>
      </c>
      <c r="Y177" s="3" t="n">
        <f aca="false">INDEX(Shelter_Design!$P$2:$P$41,MATCH($B177,Shelter_Design!$A$2:$A$41,0))</f>
        <v>1</v>
      </c>
      <c r="Z177" s="3" t="n">
        <f aca="false">INDEX(Shelter_Design!$G$2:$G$41,MATCH($B177,Shelter_Design!$A$2:$A$41,0))</f>
        <v>19.8</v>
      </c>
      <c r="AA177" s="3" t="n">
        <f aca="false">INDEX(Shelter_Design!$S$2:$S$41,MATCH($B177,Shelter_Design!$A$2:$A$41,0))</f>
        <v>0.0378787878787879</v>
      </c>
      <c r="AB177" s="3" t="n">
        <f aca="false">INDEX(Shelter_Design!$Y$2:$Y$41,MATCH($B177,Shelter_Design!$A$2:$A$41,0))</f>
        <v>2</v>
      </c>
      <c r="AC177" s="3" t="str">
        <f aca="false">INDEX(Shelter_Design!$Z$2:$Z$41,MATCH($B177,Shelter_Design!$A$2:$A$41,0))</f>
        <v>Light-moderate</v>
      </c>
      <c r="AD177" s="3" t="n">
        <f aca="false">INDEX(Shelter_Design!$AA$2:$AA$41,MATCH($B177,Shelter_Design!$A$2:$A$41,0))</f>
        <v>1</v>
      </c>
      <c r="AE177" s="3" t="s">
        <v>304</v>
      </c>
    </row>
    <row r="178" customFormat="false" ht="15" hidden="false" customHeight="true" outlineLevel="0" collapsed="false">
      <c r="A178" s="3" t="s">
        <v>480</v>
      </c>
      <c r="B178" s="3" t="s">
        <v>286</v>
      </c>
      <c r="C178" s="3" t="s">
        <v>280</v>
      </c>
      <c r="D178" s="3" t="s">
        <v>303</v>
      </c>
      <c r="E178" s="3" t="s">
        <v>67</v>
      </c>
      <c r="F178" s="3" t="s">
        <v>39</v>
      </c>
      <c r="G178" s="3" t="str">
        <f aca="false">E178&amp;"-"&amp;F178</f>
        <v>Chennai-June</v>
      </c>
      <c r="H178" s="3" t="n">
        <f aca="false">INDEX(Weather_Data!$K$2:$K$73,MATCH($G178,Weather_Data!$J$2:$J$73,0))</f>
        <v>33</v>
      </c>
      <c r="I178" s="3" t="n">
        <f aca="false">INDEX(Weather_Data!$L$2:$L$73,MATCH($G178,Weather_Data!$J$2:$J$73,0))</f>
        <v>60</v>
      </c>
      <c r="J178" s="3" t="n">
        <f aca="false">INDEX(Weather_Data!$M$2:$M$73,MATCH($G178,Weather_Data!$J$2:$J$73,0))</f>
        <v>4</v>
      </c>
      <c r="K178" s="3" t="n">
        <f aca="false">INDEX(Weather_Data!$P$2:$P$73,MATCH($G178,Weather_Data!$J$2:$J$73,0))</f>
        <v>229.166666666667</v>
      </c>
      <c r="L178" s="3" t="n">
        <f aca="false">INDEX(Weather_Data!$Q$2:$Q$73,MATCH($G178,Weather_Data!$J$2:$J$73,0))</f>
        <v>50</v>
      </c>
      <c r="M178" s="3" t="str">
        <f aca="false">INDEX(Shelter_Design!$I$2:$I$41,MATCH($B178,Shelter_Design!$A$2:$A$41,0))</f>
        <v>M12</v>
      </c>
      <c r="N178" s="3" t="n">
        <f aca="false">IFERROR(INDEX(Material_Properties!$D$2:$D$21,MATCH(M178,Material_Properties!$A$2:$A$21,0)),1)</f>
        <v>0.05</v>
      </c>
      <c r="O178" s="3" t="n">
        <f aca="false">INDEX(Shelter_Design!$M$2:$M$41,MATCH($B178,Shelter_Design!$A$2:$A$41,0))</f>
        <v>2</v>
      </c>
      <c r="P178" s="3" t="str">
        <f aca="false">INDEX(Shelter_Design!$L$2:$L$41,MATCH($B178,Shelter_Design!$A$2:$A$41,0))</f>
        <v>M07</v>
      </c>
      <c r="Q178" s="3" t="n">
        <f aca="false">IF(P178="None",0,IFERROR(INDEX(Material_Properties!$D$2:$D$21,MATCH(P178,Material_Properties!$A$2:$A$21,0)),0))</f>
        <v>0.036</v>
      </c>
      <c r="R178" s="3" t="n">
        <f aca="false">INDEX(Shelter_Design!$O$2:$O$41,MATCH($B178,Shelter_Design!$A$2:$A$41,0))</f>
        <v>25</v>
      </c>
      <c r="S178" s="3" t="n">
        <f aca="false">(O178/1000)/N178</f>
        <v>0.04</v>
      </c>
      <c r="T178" s="3" t="n">
        <f aca="false">IF(OR(P178="None",Q178=0),0,(R178/1000)/Q178)</f>
        <v>0.694444444444445</v>
      </c>
      <c r="U178" s="3" t="n">
        <v>0.17</v>
      </c>
      <c r="V178" s="3" t="n">
        <f aca="false">S178+T178+U178</f>
        <v>0.904444444444445</v>
      </c>
      <c r="W178" s="3" t="n">
        <f aca="false">1/V178</f>
        <v>1.10565110565111</v>
      </c>
      <c r="X178" s="3" t="n">
        <f aca="false">INDEX(Shelter_Design!$R$2:$R$41,MATCH($B178,Shelter_Design!$A$2:$A$41,0))</f>
        <v>25.4</v>
      </c>
      <c r="Y178" s="3" t="n">
        <f aca="false">INDEX(Shelter_Design!$P$2:$P$41,MATCH($B178,Shelter_Design!$A$2:$A$41,0))</f>
        <v>1</v>
      </c>
      <c r="Z178" s="3" t="n">
        <f aca="false">INDEX(Shelter_Design!$G$2:$G$41,MATCH($B178,Shelter_Design!$A$2:$A$41,0))</f>
        <v>19.8</v>
      </c>
      <c r="AA178" s="3" t="n">
        <f aca="false">INDEX(Shelter_Design!$S$2:$S$41,MATCH($B178,Shelter_Design!$A$2:$A$41,0))</f>
        <v>0.0378787878787879</v>
      </c>
      <c r="AB178" s="3" t="n">
        <f aca="false">INDEX(Shelter_Design!$Y$2:$Y$41,MATCH($B178,Shelter_Design!$A$2:$A$41,0))</f>
        <v>2</v>
      </c>
      <c r="AC178" s="3" t="str">
        <f aca="false">INDEX(Shelter_Design!$Z$2:$Z$41,MATCH($B178,Shelter_Design!$A$2:$A$41,0))</f>
        <v>Light-moderate</v>
      </c>
      <c r="AD178" s="3" t="n">
        <f aca="false">INDEX(Shelter_Design!$AA$2:$AA$41,MATCH($B178,Shelter_Design!$A$2:$A$41,0))</f>
        <v>1</v>
      </c>
      <c r="AE178" s="3" t="s">
        <v>304</v>
      </c>
    </row>
    <row r="179" customFormat="false" ht="15" hidden="false" customHeight="true" outlineLevel="0" collapsed="false">
      <c r="A179" s="3" t="s">
        <v>481</v>
      </c>
      <c r="B179" s="3" t="s">
        <v>286</v>
      </c>
      <c r="C179" s="3" t="s">
        <v>280</v>
      </c>
      <c r="D179" s="3" t="s">
        <v>303</v>
      </c>
      <c r="E179" s="3" t="s">
        <v>67</v>
      </c>
      <c r="F179" s="3" t="s">
        <v>46</v>
      </c>
      <c r="G179" s="3" t="str">
        <f aca="false">E179&amp;"-"&amp;F179</f>
        <v>Chennai-September</v>
      </c>
      <c r="H179" s="3" t="n">
        <f aca="false">INDEX(Weather_Data!$K$2:$K$73,MATCH($G179,Weather_Data!$J$2:$J$73,0))</f>
        <v>30</v>
      </c>
      <c r="I179" s="3" t="n">
        <f aca="false">INDEX(Weather_Data!$L$2:$L$73,MATCH($G179,Weather_Data!$J$2:$J$73,0))</f>
        <v>72</v>
      </c>
      <c r="J179" s="3" t="n">
        <f aca="false">INDEX(Weather_Data!$M$2:$M$73,MATCH($G179,Weather_Data!$J$2:$J$73,0))</f>
        <v>3.5</v>
      </c>
      <c r="K179" s="3" t="n">
        <f aca="false">INDEX(Weather_Data!$P$2:$P$73,MATCH($G179,Weather_Data!$J$2:$J$73,0))</f>
        <v>216.666666666667</v>
      </c>
      <c r="L179" s="3" t="n">
        <f aca="false">INDEX(Weather_Data!$Q$2:$Q$73,MATCH($G179,Weather_Data!$J$2:$J$73,0))</f>
        <v>120</v>
      </c>
      <c r="M179" s="3" t="str">
        <f aca="false">INDEX(Shelter_Design!$I$2:$I$41,MATCH($B179,Shelter_Design!$A$2:$A$41,0))</f>
        <v>M12</v>
      </c>
      <c r="N179" s="3" t="n">
        <f aca="false">IFERROR(INDEX(Material_Properties!$D$2:$D$21,MATCH(M179,Material_Properties!$A$2:$A$21,0)),1)</f>
        <v>0.05</v>
      </c>
      <c r="O179" s="3" t="n">
        <f aca="false">INDEX(Shelter_Design!$M$2:$M$41,MATCH($B179,Shelter_Design!$A$2:$A$41,0))</f>
        <v>2</v>
      </c>
      <c r="P179" s="3" t="str">
        <f aca="false">INDEX(Shelter_Design!$L$2:$L$41,MATCH($B179,Shelter_Design!$A$2:$A$41,0))</f>
        <v>M07</v>
      </c>
      <c r="Q179" s="3" t="n">
        <f aca="false">IF(P179="None",0,IFERROR(INDEX(Material_Properties!$D$2:$D$21,MATCH(P179,Material_Properties!$A$2:$A$21,0)),0))</f>
        <v>0.036</v>
      </c>
      <c r="R179" s="3" t="n">
        <f aca="false">INDEX(Shelter_Design!$O$2:$O$41,MATCH($B179,Shelter_Design!$A$2:$A$41,0))</f>
        <v>25</v>
      </c>
      <c r="S179" s="3" t="n">
        <f aca="false">(O179/1000)/N179</f>
        <v>0.04</v>
      </c>
      <c r="T179" s="3" t="n">
        <f aca="false">IF(OR(P179="None",Q179=0),0,(R179/1000)/Q179)</f>
        <v>0.694444444444445</v>
      </c>
      <c r="U179" s="3" t="n">
        <v>0.17</v>
      </c>
      <c r="V179" s="3" t="n">
        <f aca="false">S179+T179+U179</f>
        <v>0.904444444444445</v>
      </c>
      <c r="W179" s="3" t="n">
        <f aca="false">1/V179</f>
        <v>1.10565110565111</v>
      </c>
      <c r="X179" s="3" t="n">
        <f aca="false">INDEX(Shelter_Design!$R$2:$R$41,MATCH($B179,Shelter_Design!$A$2:$A$41,0))</f>
        <v>25.4</v>
      </c>
      <c r="Y179" s="3" t="n">
        <f aca="false">INDEX(Shelter_Design!$P$2:$P$41,MATCH($B179,Shelter_Design!$A$2:$A$41,0))</f>
        <v>1</v>
      </c>
      <c r="Z179" s="3" t="n">
        <f aca="false">INDEX(Shelter_Design!$G$2:$G$41,MATCH($B179,Shelter_Design!$A$2:$A$41,0))</f>
        <v>19.8</v>
      </c>
      <c r="AA179" s="3" t="n">
        <f aca="false">INDEX(Shelter_Design!$S$2:$S$41,MATCH($B179,Shelter_Design!$A$2:$A$41,0))</f>
        <v>0.0378787878787879</v>
      </c>
      <c r="AB179" s="3" t="n">
        <f aca="false">INDEX(Shelter_Design!$Y$2:$Y$41,MATCH($B179,Shelter_Design!$A$2:$A$41,0))</f>
        <v>2</v>
      </c>
      <c r="AC179" s="3" t="str">
        <f aca="false">INDEX(Shelter_Design!$Z$2:$Z$41,MATCH($B179,Shelter_Design!$A$2:$A$41,0))</f>
        <v>Light-moderate</v>
      </c>
      <c r="AD179" s="3" t="n">
        <f aca="false">INDEX(Shelter_Design!$AA$2:$AA$41,MATCH($B179,Shelter_Design!$A$2:$A$41,0))</f>
        <v>1</v>
      </c>
      <c r="AE179" s="3" t="s">
        <v>304</v>
      </c>
    </row>
    <row r="180" customFormat="false" ht="15" hidden="false" customHeight="true" outlineLevel="0" collapsed="false">
      <c r="A180" s="3" t="s">
        <v>482</v>
      </c>
      <c r="B180" s="3" t="s">
        <v>287</v>
      </c>
      <c r="C180" s="3" t="s">
        <v>280</v>
      </c>
      <c r="D180" s="3" t="s">
        <v>303</v>
      </c>
      <c r="E180" s="3" t="s">
        <v>20</v>
      </c>
      <c r="F180" s="3" t="s">
        <v>22</v>
      </c>
      <c r="G180" s="3" t="str">
        <f aca="false">E180&amp;"-"&amp;F180</f>
        <v>Leh-January</v>
      </c>
      <c r="H180" s="3" t="n">
        <f aca="false">INDEX(Weather_Data!$K$2:$K$73,MATCH($G180,Weather_Data!$J$2:$J$73,0))</f>
        <v>-8</v>
      </c>
      <c r="I180" s="3" t="n">
        <f aca="false">INDEX(Weather_Data!$L$2:$L$73,MATCH($G180,Weather_Data!$J$2:$J$73,0))</f>
        <v>25</v>
      </c>
      <c r="J180" s="3" t="n">
        <f aca="false">INDEX(Weather_Data!$M$2:$M$73,MATCH($G180,Weather_Data!$J$2:$J$73,0))</f>
        <v>2</v>
      </c>
      <c r="K180" s="3" t="n">
        <f aca="false">INDEX(Weather_Data!$P$2:$P$73,MATCH($G180,Weather_Data!$J$2:$J$73,0))</f>
        <v>166.666666666667</v>
      </c>
      <c r="L180" s="3" t="n">
        <f aca="false">INDEX(Weather_Data!$Q$2:$Q$73,MATCH($G180,Weather_Data!$J$2:$J$73,0))</f>
        <v>5</v>
      </c>
      <c r="M180" s="3" t="str">
        <f aca="false">INDEX(Shelter_Design!$I$2:$I$41,MATCH($B180,Shelter_Design!$A$2:$A$41,0))</f>
        <v>M12</v>
      </c>
      <c r="N180" s="3" t="n">
        <f aca="false">IFERROR(INDEX(Material_Properties!$D$2:$D$21,MATCH(M180,Material_Properties!$A$2:$A$21,0)),1)</f>
        <v>0.05</v>
      </c>
      <c r="O180" s="3" t="n">
        <f aca="false">INDEX(Shelter_Design!$M$2:$M$41,MATCH($B180,Shelter_Design!$A$2:$A$41,0))</f>
        <v>2</v>
      </c>
      <c r="P180" s="3" t="str">
        <f aca="false">INDEX(Shelter_Design!$L$2:$L$41,MATCH($B180,Shelter_Design!$A$2:$A$41,0))</f>
        <v>M07</v>
      </c>
      <c r="Q180" s="3" t="n">
        <f aca="false">IF(P180="None",0,IFERROR(INDEX(Material_Properties!$D$2:$D$21,MATCH(P180,Material_Properties!$A$2:$A$21,0)),0))</f>
        <v>0.036</v>
      </c>
      <c r="R180" s="3" t="n">
        <f aca="false">INDEX(Shelter_Design!$O$2:$O$41,MATCH($B180,Shelter_Design!$A$2:$A$41,0))</f>
        <v>25</v>
      </c>
      <c r="S180" s="3" t="n">
        <f aca="false">(O180/1000)/N180</f>
        <v>0.04</v>
      </c>
      <c r="T180" s="3" t="n">
        <f aca="false">IF(OR(P180="None",Q180=0),0,(R180/1000)/Q180)</f>
        <v>0.694444444444445</v>
      </c>
      <c r="U180" s="3" t="n">
        <v>0.17</v>
      </c>
      <c r="V180" s="3" t="n">
        <f aca="false">S180+T180+U180</f>
        <v>0.904444444444445</v>
      </c>
      <c r="W180" s="3" t="n">
        <f aca="false">1/V180</f>
        <v>1.10565110565111</v>
      </c>
      <c r="X180" s="3" t="n">
        <f aca="false">INDEX(Shelter_Design!$R$2:$R$41,MATCH($B180,Shelter_Design!$A$2:$A$41,0))</f>
        <v>31.2</v>
      </c>
      <c r="Y180" s="3" t="n">
        <f aca="false">INDEX(Shelter_Design!$P$2:$P$41,MATCH($B180,Shelter_Design!$A$2:$A$41,0))</f>
        <v>1</v>
      </c>
      <c r="Z180" s="3" t="n">
        <f aca="false">INDEX(Shelter_Design!$G$2:$G$41,MATCH($B180,Shelter_Design!$A$2:$A$41,0))</f>
        <v>27.6</v>
      </c>
      <c r="AA180" s="3" t="n">
        <f aca="false">INDEX(Shelter_Design!$S$2:$S$41,MATCH($B180,Shelter_Design!$A$2:$A$41,0))</f>
        <v>0.031055900621118</v>
      </c>
      <c r="AB180" s="3" t="n">
        <f aca="false">INDEX(Shelter_Design!$Y$2:$Y$41,MATCH($B180,Shelter_Design!$A$2:$A$41,0))</f>
        <v>4</v>
      </c>
      <c r="AC180" s="3" t="str">
        <f aca="false">INDEX(Shelter_Design!$Z$2:$Z$41,MATCH($B180,Shelter_Design!$A$2:$A$41,0))</f>
        <v>Light-moderate</v>
      </c>
      <c r="AD180" s="3" t="n">
        <f aca="false">INDEX(Shelter_Design!$AA$2:$AA$41,MATCH($B180,Shelter_Design!$A$2:$A$41,0))</f>
        <v>1</v>
      </c>
      <c r="AE180" s="3" t="s">
        <v>304</v>
      </c>
    </row>
    <row r="181" customFormat="false" ht="15" hidden="false" customHeight="true" outlineLevel="0" collapsed="false">
      <c r="A181" s="3" t="s">
        <v>483</v>
      </c>
      <c r="B181" s="3" t="s">
        <v>287</v>
      </c>
      <c r="C181" s="3" t="s">
        <v>280</v>
      </c>
      <c r="D181" s="3" t="s">
        <v>303</v>
      </c>
      <c r="E181" s="3" t="s">
        <v>20</v>
      </c>
      <c r="F181" s="3" t="s">
        <v>39</v>
      </c>
      <c r="G181" s="3" t="str">
        <f aca="false">E181&amp;"-"&amp;F181</f>
        <v>Leh-June</v>
      </c>
      <c r="H181" s="3" t="n">
        <f aca="false">INDEX(Weather_Data!$K$2:$K$73,MATCH($G181,Weather_Data!$J$2:$J$73,0))</f>
        <v>16</v>
      </c>
      <c r="I181" s="3" t="n">
        <f aca="false">INDEX(Weather_Data!$L$2:$L$73,MATCH($G181,Weather_Data!$J$2:$J$73,0))</f>
        <v>35</v>
      </c>
      <c r="J181" s="3" t="n">
        <f aca="false">INDEX(Weather_Data!$M$2:$M$73,MATCH($G181,Weather_Data!$J$2:$J$73,0))</f>
        <v>3.5</v>
      </c>
      <c r="K181" s="3" t="n">
        <f aca="false">INDEX(Weather_Data!$P$2:$P$73,MATCH($G181,Weather_Data!$J$2:$J$73,0))</f>
        <v>300</v>
      </c>
      <c r="L181" s="3" t="n">
        <f aca="false">INDEX(Weather_Data!$Q$2:$Q$73,MATCH($G181,Weather_Data!$J$2:$J$73,0))</f>
        <v>8</v>
      </c>
      <c r="M181" s="3" t="str">
        <f aca="false">INDEX(Shelter_Design!$I$2:$I$41,MATCH($B181,Shelter_Design!$A$2:$A$41,0))</f>
        <v>M12</v>
      </c>
      <c r="N181" s="3" t="n">
        <f aca="false">IFERROR(INDEX(Material_Properties!$D$2:$D$21,MATCH(M181,Material_Properties!$A$2:$A$21,0)),1)</f>
        <v>0.05</v>
      </c>
      <c r="O181" s="3" t="n">
        <f aca="false">INDEX(Shelter_Design!$M$2:$M$41,MATCH($B181,Shelter_Design!$A$2:$A$41,0))</f>
        <v>2</v>
      </c>
      <c r="P181" s="3" t="str">
        <f aca="false">INDEX(Shelter_Design!$L$2:$L$41,MATCH($B181,Shelter_Design!$A$2:$A$41,0))</f>
        <v>M07</v>
      </c>
      <c r="Q181" s="3" t="n">
        <f aca="false">IF(P181="None",0,IFERROR(INDEX(Material_Properties!$D$2:$D$21,MATCH(P181,Material_Properties!$A$2:$A$21,0)),0))</f>
        <v>0.036</v>
      </c>
      <c r="R181" s="3" t="n">
        <f aca="false">INDEX(Shelter_Design!$O$2:$O$41,MATCH($B181,Shelter_Design!$A$2:$A$41,0))</f>
        <v>25</v>
      </c>
      <c r="S181" s="3" t="n">
        <f aca="false">(O181/1000)/N181</f>
        <v>0.04</v>
      </c>
      <c r="T181" s="3" t="n">
        <f aca="false">IF(OR(P181="None",Q181=0),0,(R181/1000)/Q181)</f>
        <v>0.694444444444445</v>
      </c>
      <c r="U181" s="3" t="n">
        <v>0.17</v>
      </c>
      <c r="V181" s="3" t="n">
        <f aca="false">S181+T181+U181</f>
        <v>0.904444444444445</v>
      </c>
      <c r="W181" s="3" t="n">
        <f aca="false">1/V181</f>
        <v>1.10565110565111</v>
      </c>
      <c r="X181" s="3" t="n">
        <f aca="false">INDEX(Shelter_Design!$R$2:$R$41,MATCH($B181,Shelter_Design!$A$2:$A$41,0))</f>
        <v>31.2</v>
      </c>
      <c r="Y181" s="3" t="n">
        <f aca="false">INDEX(Shelter_Design!$P$2:$P$41,MATCH($B181,Shelter_Design!$A$2:$A$41,0))</f>
        <v>1</v>
      </c>
      <c r="Z181" s="3" t="n">
        <f aca="false">INDEX(Shelter_Design!$G$2:$G$41,MATCH($B181,Shelter_Design!$A$2:$A$41,0))</f>
        <v>27.6</v>
      </c>
      <c r="AA181" s="3" t="n">
        <f aca="false">INDEX(Shelter_Design!$S$2:$S$41,MATCH($B181,Shelter_Design!$A$2:$A$41,0))</f>
        <v>0.031055900621118</v>
      </c>
      <c r="AB181" s="3" t="n">
        <f aca="false">INDEX(Shelter_Design!$Y$2:$Y$41,MATCH($B181,Shelter_Design!$A$2:$A$41,0))</f>
        <v>4</v>
      </c>
      <c r="AC181" s="3" t="str">
        <f aca="false">INDEX(Shelter_Design!$Z$2:$Z$41,MATCH($B181,Shelter_Design!$A$2:$A$41,0))</f>
        <v>Light-moderate</v>
      </c>
      <c r="AD181" s="3" t="n">
        <f aca="false">INDEX(Shelter_Design!$AA$2:$AA$41,MATCH($B181,Shelter_Design!$A$2:$A$41,0))</f>
        <v>1</v>
      </c>
      <c r="AE181" s="3" t="s">
        <v>304</v>
      </c>
    </row>
    <row r="182" customFormat="false" ht="15" hidden="false" customHeight="true" outlineLevel="0" collapsed="false">
      <c r="A182" s="3" t="s">
        <v>484</v>
      </c>
      <c r="B182" s="3" t="s">
        <v>287</v>
      </c>
      <c r="C182" s="3" t="s">
        <v>280</v>
      </c>
      <c r="D182" s="3" t="s">
        <v>303</v>
      </c>
      <c r="E182" s="3" t="s">
        <v>20</v>
      </c>
      <c r="F182" s="3" t="s">
        <v>46</v>
      </c>
      <c r="G182" s="3" t="str">
        <f aca="false">E182&amp;"-"&amp;F182</f>
        <v>Leh-September</v>
      </c>
      <c r="H182" s="3" t="n">
        <f aca="false">INDEX(Weather_Data!$K$2:$K$73,MATCH($G182,Weather_Data!$J$2:$J$73,0))</f>
        <v>14</v>
      </c>
      <c r="I182" s="3" t="n">
        <f aca="false">INDEX(Weather_Data!$L$2:$L$73,MATCH($G182,Weather_Data!$J$2:$J$73,0))</f>
        <v>35</v>
      </c>
      <c r="J182" s="3" t="n">
        <f aca="false">INDEX(Weather_Data!$M$2:$M$73,MATCH($G182,Weather_Data!$J$2:$J$73,0))</f>
        <v>3</v>
      </c>
      <c r="K182" s="3" t="n">
        <f aca="false">INDEX(Weather_Data!$P$2:$P$73,MATCH($G182,Weather_Data!$J$2:$J$73,0))</f>
        <v>250</v>
      </c>
      <c r="L182" s="3" t="n">
        <f aca="false">INDEX(Weather_Data!$Q$2:$Q$73,MATCH($G182,Weather_Data!$J$2:$J$73,0))</f>
        <v>8</v>
      </c>
      <c r="M182" s="3" t="str">
        <f aca="false">INDEX(Shelter_Design!$I$2:$I$41,MATCH($B182,Shelter_Design!$A$2:$A$41,0))</f>
        <v>M12</v>
      </c>
      <c r="N182" s="3" t="n">
        <f aca="false">IFERROR(INDEX(Material_Properties!$D$2:$D$21,MATCH(M182,Material_Properties!$A$2:$A$21,0)),1)</f>
        <v>0.05</v>
      </c>
      <c r="O182" s="3" t="n">
        <f aca="false">INDEX(Shelter_Design!$M$2:$M$41,MATCH($B182,Shelter_Design!$A$2:$A$41,0))</f>
        <v>2</v>
      </c>
      <c r="P182" s="3" t="str">
        <f aca="false">INDEX(Shelter_Design!$L$2:$L$41,MATCH($B182,Shelter_Design!$A$2:$A$41,0))</f>
        <v>M07</v>
      </c>
      <c r="Q182" s="3" t="n">
        <f aca="false">IF(P182="None",0,IFERROR(INDEX(Material_Properties!$D$2:$D$21,MATCH(P182,Material_Properties!$A$2:$A$21,0)),0))</f>
        <v>0.036</v>
      </c>
      <c r="R182" s="3" t="n">
        <f aca="false">INDEX(Shelter_Design!$O$2:$O$41,MATCH($B182,Shelter_Design!$A$2:$A$41,0))</f>
        <v>25</v>
      </c>
      <c r="S182" s="3" t="n">
        <f aca="false">(O182/1000)/N182</f>
        <v>0.04</v>
      </c>
      <c r="T182" s="3" t="n">
        <f aca="false">IF(OR(P182="None",Q182=0),0,(R182/1000)/Q182)</f>
        <v>0.694444444444445</v>
      </c>
      <c r="U182" s="3" t="n">
        <v>0.17</v>
      </c>
      <c r="V182" s="3" t="n">
        <f aca="false">S182+T182+U182</f>
        <v>0.904444444444445</v>
      </c>
      <c r="W182" s="3" t="n">
        <f aca="false">1/V182</f>
        <v>1.10565110565111</v>
      </c>
      <c r="X182" s="3" t="n">
        <f aca="false">INDEX(Shelter_Design!$R$2:$R$41,MATCH($B182,Shelter_Design!$A$2:$A$41,0))</f>
        <v>31.2</v>
      </c>
      <c r="Y182" s="3" t="n">
        <f aca="false">INDEX(Shelter_Design!$P$2:$P$41,MATCH($B182,Shelter_Design!$A$2:$A$41,0))</f>
        <v>1</v>
      </c>
      <c r="Z182" s="3" t="n">
        <f aca="false">INDEX(Shelter_Design!$G$2:$G$41,MATCH($B182,Shelter_Design!$A$2:$A$41,0))</f>
        <v>27.6</v>
      </c>
      <c r="AA182" s="3" t="n">
        <f aca="false">INDEX(Shelter_Design!$S$2:$S$41,MATCH($B182,Shelter_Design!$A$2:$A$41,0))</f>
        <v>0.031055900621118</v>
      </c>
      <c r="AB182" s="3" t="n">
        <f aca="false">INDEX(Shelter_Design!$Y$2:$Y$41,MATCH($B182,Shelter_Design!$A$2:$A$41,0))</f>
        <v>4</v>
      </c>
      <c r="AC182" s="3" t="str">
        <f aca="false">INDEX(Shelter_Design!$Z$2:$Z$41,MATCH($B182,Shelter_Design!$A$2:$A$41,0))</f>
        <v>Light-moderate</v>
      </c>
      <c r="AD182" s="3" t="n">
        <f aca="false">INDEX(Shelter_Design!$AA$2:$AA$41,MATCH($B182,Shelter_Design!$A$2:$A$41,0))</f>
        <v>1</v>
      </c>
      <c r="AE182" s="3" t="s">
        <v>304</v>
      </c>
    </row>
    <row r="183" customFormat="false" ht="15" hidden="false" customHeight="true" outlineLevel="0" collapsed="false">
      <c r="A183" s="3" t="s">
        <v>485</v>
      </c>
      <c r="B183" s="3" t="s">
        <v>287</v>
      </c>
      <c r="C183" s="3" t="s">
        <v>280</v>
      </c>
      <c r="D183" s="3" t="s">
        <v>303</v>
      </c>
      <c r="E183" s="3" t="s">
        <v>67</v>
      </c>
      <c r="F183" s="3" t="s">
        <v>22</v>
      </c>
      <c r="G183" s="3" t="str">
        <f aca="false">E183&amp;"-"&amp;F183</f>
        <v>Chennai-January</v>
      </c>
      <c r="H183" s="3" t="n">
        <f aca="false">INDEX(Weather_Data!$K$2:$K$73,MATCH($G183,Weather_Data!$J$2:$J$73,0))</f>
        <v>25</v>
      </c>
      <c r="I183" s="3" t="n">
        <f aca="false">INDEX(Weather_Data!$L$2:$L$73,MATCH($G183,Weather_Data!$J$2:$J$73,0))</f>
        <v>72</v>
      </c>
      <c r="J183" s="3" t="n">
        <f aca="false">INDEX(Weather_Data!$M$2:$M$73,MATCH($G183,Weather_Data!$J$2:$J$73,0))</f>
        <v>3</v>
      </c>
      <c r="K183" s="3" t="n">
        <f aca="false">INDEX(Weather_Data!$P$2:$P$73,MATCH($G183,Weather_Data!$J$2:$J$73,0))</f>
        <v>187.5</v>
      </c>
      <c r="L183" s="3" t="n">
        <f aca="false">INDEX(Weather_Data!$Q$2:$Q$73,MATCH($G183,Weather_Data!$J$2:$J$73,0))</f>
        <v>25</v>
      </c>
      <c r="M183" s="3" t="str">
        <f aca="false">INDEX(Shelter_Design!$I$2:$I$41,MATCH($B183,Shelter_Design!$A$2:$A$41,0))</f>
        <v>M12</v>
      </c>
      <c r="N183" s="3" t="n">
        <f aca="false">IFERROR(INDEX(Material_Properties!$D$2:$D$21,MATCH(M183,Material_Properties!$A$2:$A$21,0)),1)</f>
        <v>0.05</v>
      </c>
      <c r="O183" s="3" t="n">
        <f aca="false">INDEX(Shelter_Design!$M$2:$M$41,MATCH($B183,Shelter_Design!$A$2:$A$41,0))</f>
        <v>2</v>
      </c>
      <c r="P183" s="3" t="str">
        <f aca="false">INDEX(Shelter_Design!$L$2:$L$41,MATCH($B183,Shelter_Design!$A$2:$A$41,0))</f>
        <v>M07</v>
      </c>
      <c r="Q183" s="3" t="n">
        <f aca="false">IF(P183="None",0,IFERROR(INDEX(Material_Properties!$D$2:$D$21,MATCH(P183,Material_Properties!$A$2:$A$21,0)),0))</f>
        <v>0.036</v>
      </c>
      <c r="R183" s="3" t="n">
        <f aca="false">INDEX(Shelter_Design!$O$2:$O$41,MATCH($B183,Shelter_Design!$A$2:$A$41,0))</f>
        <v>25</v>
      </c>
      <c r="S183" s="3" t="n">
        <f aca="false">(O183/1000)/N183</f>
        <v>0.04</v>
      </c>
      <c r="T183" s="3" t="n">
        <f aca="false">IF(OR(P183="None",Q183=0),0,(R183/1000)/Q183)</f>
        <v>0.694444444444445</v>
      </c>
      <c r="U183" s="3" t="n">
        <v>0.17</v>
      </c>
      <c r="V183" s="3" t="n">
        <f aca="false">S183+T183+U183</f>
        <v>0.904444444444445</v>
      </c>
      <c r="W183" s="3" t="n">
        <f aca="false">1/V183</f>
        <v>1.10565110565111</v>
      </c>
      <c r="X183" s="3" t="n">
        <f aca="false">INDEX(Shelter_Design!$R$2:$R$41,MATCH($B183,Shelter_Design!$A$2:$A$41,0))</f>
        <v>31.2</v>
      </c>
      <c r="Y183" s="3" t="n">
        <f aca="false">INDEX(Shelter_Design!$P$2:$P$41,MATCH($B183,Shelter_Design!$A$2:$A$41,0))</f>
        <v>1</v>
      </c>
      <c r="Z183" s="3" t="n">
        <f aca="false">INDEX(Shelter_Design!$G$2:$G$41,MATCH($B183,Shelter_Design!$A$2:$A$41,0))</f>
        <v>27.6</v>
      </c>
      <c r="AA183" s="3" t="n">
        <f aca="false">INDEX(Shelter_Design!$S$2:$S$41,MATCH($B183,Shelter_Design!$A$2:$A$41,0))</f>
        <v>0.031055900621118</v>
      </c>
      <c r="AB183" s="3" t="n">
        <f aca="false">INDEX(Shelter_Design!$Y$2:$Y$41,MATCH($B183,Shelter_Design!$A$2:$A$41,0))</f>
        <v>4</v>
      </c>
      <c r="AC183" s="3" t="str">
        <f aca="false">INDEX(Shelter_Design!$Z$2:$Z$41,MATCH($B183,Shelter_Design!$A$2:$A$41,0))</f>
        <v>Light-moderate</v>
      </c>
      <c r="AD183" s="3" t="n">
        <f aca="false">INDEX(Shelter_Design!$AA$2:$AA$41,MATCH($B183,Shelter_Design!$A$2:$A$41,0))</f>
        <v>1</v>
      </c>
      <c r="AE183" s="3" t="s">
        <v>304</v>
      </c>
    </row>
    <row r="184" customFormat="false" ht="15" hidden="false" customHeight="true" outlineLevel="0" collapsed="false">
      <c r="A184" s="3" t="s">
        <v>486</v>
      </c>
      <c r="B184" s="3" t="s">
        <v>287</v>
      </c>
      <c r="C184" s="3" t="s">
        <v>280</v>
      </c>
      <c r="D184" s="3" t="s">
        <v>303</v>
      </c>
      <c r="E184" s="3" t="s">
        <v>67</v>
      </c>
      <c r="F184" s="3" t="s">
        <v>39</v>
      </c>
      <c r="G184" s="3" t="str">
        <f aca="false">E184&amp;"-"&amp;F184</f>
        <v>Chennai-June</v>
      </c>
      <c r="H184" s="3" t="n">
        <f aca="false">INDEX(Weather_Data!$K$2:$K$73,MATCH($G184,Weather_Data!$J$2:$J$73,0))</f>
        <v>33</v>
      </c>
      <c r="I184" s="3" t="n">
        <f aca="false">INDEX(Weather_Data!$L$2:$L$73,MATCH($G184,Weather_Data!$J$2:$J$73,0))</f>
        <v>60</v>
      </c>
      <c r="J184" s="3" t="n">
        <f aca="false">INDEX(Weather_Data!$M$2:$M$73,MATCH($G184,Weather_Data!$J$2:$J$73,0))</f>
        <v>4</v>
      </c>
      <c r="K184" s="3" t="n">
        <f aca="false">INDEX(Weather_Data!$P$2:$P$73,MATCH($G184,Weather_Data!$J$2:$J$73,0))</f>
        <v>229.166666666667</v>
      </c>
      <c r="L184" s="3" t="n">
        <f aca="false">INDEX(Weather_Data!$Q$2:$Q$73,MATCH($G184,Weather_Data!$J$2:$J$73,0))</f>
        <v>50</v>
      </c>
      <c r="M184" s="3" t="str">
        <f aca="false">INDEX(Shelter_Design!$I$2:$I$41,MATCH($B184,Shelter_Design!$A$2:$A$41,0))</f>
        <v>M12</v>
      </c>
      <c r="N184" s="3" t="n">
        <f aca="false">IFERROR(INDEX(Material_Properties!$D$2:$D$21,MATCH(M184,Material_Properties!$A$2:$A$21,0)),1)</f>
        <v>0.05</v>
      </c>
      <c r="O184" s="3" t="n">
        <f aca="false">INDEX(Shelter_Design!$M$2:$M$41,MATCH($B184,Shelter_Design!$A$2:$A$41,0))</f>
        <v>2</v>
      </c>
      <c r="P184" s="3" t="str">
        <f aca="false">INDEX(Shelter_Design!$L$2:$L$41,MATCH($B184,Shelter_Design!$A$2:$A$41,0))</f>
        <v>M07</v>
      </c>
      <c r="Q184" s="3" t="n">
        <f aca="false">IF(P184="None",0,IFERROR(INDEX(Material_Properties!$D$2:$D$21,MATCH(P184,Material_Properties!$A$2:$A$21,0)),0))</f>
        <v>0.036</v>
      </c>
      <c r="R184" s="3" t="n">
        <f aca="false">INDEX(Shelter_Design!$O$2:$O$41,MATCH($B184,Shelter_Design!$A$2:$A$41,0))</f>
        <v>25</v>
      </c>
      <c r="S184" s="3" t="n">
        <f aca="false">(O184/1000)/N184</f>
        <v>0.04</v>
      </c>
      <c r="T184" s="3" t="n">
        <f aca="false">IF(OR(P184="None",Q184=0),0,(R184/1000)/Q184)</f>
        <v>0.694444444444445</v>
      </c>
      <c r="U184" s="3" t="n">
        <v>0.17</v>
      </c>
      <c r="V184" s="3" t="n">
        <f aca="false">S184+T184+U184</f>
        <v>0.904444444444445</v>
      </c>
      <c r="W184" s="3" t="n">
        <f aca="false">1/V184</f>
        <v>1.10565110565111</v>
      </c>
      <c r="X184" s="3" t="n">
        <f aca="false">INDEX(Shelter_Design!$R$2:$R$41,MATCH($B184,Shelter_Design!$A$2:$A$41,0))</f>
        <v>31.2</v>
      </c>
      <c r="Y184" s="3" t="n">
        <f aca="false">INDEX(Shelter_Design!$P$2:$P$41,MATCH($B184,Shelter_Design!$A$2:$A$41,0))</f>
        <v>1</v>
      </c>
      <c r="Z184" s="3" t="n">
        <f aca="false">INDEX(Shelter_Design!$G$2:$G$41,MATCH($B184,Shelter_Design!$A$2:$A$41,0))</f>
        <v>27.6</v>
      </c>
      <c r="AA184" s="3" t="n">
        <f aca="false">INDEX(Shelter_Design!$S$2:$S$41,MATCH($B184,Shelter_Design!$A$2:$A$41,0))</f>
        <v>0.031055900621118</v>
      </c>
      <c r="AB184" s="3" t="n">
        <f aca="false">INDEX(Shelter_Design!$Y$2:$Y$41,MATCH($B184,Shelter_Design!$A$2:$A$41,0))</f>
        <v>4</v>
      </c>
      <c r="AC184" s="3" t="str">
        <f aca="false">INDEX(Shelter_Design!$Z$2:$Z$41,MATCH($B184,Shelter_Design!$A$2:$A$41,0))</f>
        <v>Light-moderate</v>
      </c>
      <c r="AD184" s="3" t="n">
        <f aca="false">INDEX(Shelter_Design!$AA$2:$AA$41,MATCH($B184,Shelter_Design!$A$2:$A$41,0))</f>
        <v>1</v>
      </c>
      <c r="AE184" s="3" t="s">
        <v>304</v>
      </c>
    </row>
    <row r="185" customFormat="false" ht="15" hidden="false" customHeight="true" outlineLevel="0" collapsed="false">
      <c r="A185" s="3" t="s">
        <v>487</v>
      </c>
      <c r="B185" s="3" t="s">
        <v>287</v>
      </c>
      <c r="C185" s="3" t="s">
        <v>280</v>
      </c>
      <c r="D185" s="3" t="s">
        <v>303</v>
      </c>
      <c r="E185" s="3" t="s">
        <v>67</v>
      </c>
      <c r="F185" s="3" t="s">
        <v>46</v>
      </c>
      <c r="G185" s="3" t="str">
        <f aca="false">E185&amp;"-"&amp;F185</f>
        <v>Chennai-September</v>
      </c>
      <c r="H185" s="3" t="n">
        <f aca="false">INDEX(Weather_Data!$K$2:$K$73,MATCH($G185,Weather_Data!$J$2:$J$73,0))</f>
        <v>30</v>
      </c>
      <c r="I185" s="3" t="n">
        <f aca="false">INDEX(Weather_Data!$L$2:$L$73,MATCH($G185,Weather_Data!$J$2:$J$73,0))</f>
        <v>72</v>
      </c>
      <c r="J185" s="3" t="n">
        <f aca="false">INDEX(Weather_Data!$M$2:$M$73,MATCH($G185,Weather_Data!$J$2:$J$73,0))</f>
        <v>3.5</v>
      </c>
      <c r="K185" s="3" t="n">
        <f aca="false">INDEX(Weather_Data!$P$2:$P$73,MATCH($G185,Weather_Data!$J$2:$J$73,0))</f>
        <v>216.666666666667</v>
      </c>
      <c r="L185" s="3" t="n">
        <f aca="false">INDEX(Weather_Data!$Q$2:$Q$73,MATCH($G185,Weather_Data!$J$2:$J$73,0))</f>
        <v>120</v>
      </c>
      <c r="M185" s="3" t="str">
        <f aca="false">INDEX(Shelter_Design!$I$2:$I$41,MATCH($B185,Shelter_Design!$A$2:$A$41,0))</f>
        <v>M12</v>
      </c>
      <c r="N185" s="3" t="n">
        <f aca="false">IFERROR(INDEX(Material_Properties!$D$2:$D$21,MATCH(M185,Material_Properties!$A$2:$A$21,0)),1)</f>
        <v>0.05</v>
      </c>
      <c r="O185" s="3" t="n">
        <f aca="false">INDEX(Shelter_Design!$M$2:$M$41,MATCH($B185,Shelter_Design!$A$2:$A$41,0))</f>
        <v>2</v>
      </c>
      <c r="P185" s="3" t="str">
        <f aca="false">INDEX(Shelter_Design!$L$2:$L$41,MATCH($B185,Shelter_Design!$A$2:$A$41,0))</f>
        <v>M07</v>
      </c>
      <c r="Q185" s="3" t="n">
        <f aca="false">IF(P185="None",0,IFERROR(INDEX(Material_Properties!$D$2:$D$21,MATCH(P185,Material_Properties!$A$2:$A$21,0)),0))</f>
        <v>0.036</v>
      </c>
      <c r="R185" s="3" t="n">
        <f aca="false">INDEX(Shelter_Design!$O$2:$O$41,MATCH($B185,Shelter_Design!$A$2:$A$41,0))</f>
        <v>25</v>
      </c>
      <c r="S185" s="3" t="n">
        <f aca="false">(O185/1000)/N185</f>
        <v>0.04</v>
      </c>
      <c r="T185" s="3" t="n">
        <f aca="false">IF(OR(P185="None",Q185=0),0,(R185/1000)/Q185)</f>
        <v>0.694444444444445</v>
      </c>
      <c r="U185" s="3" t="n">
        <v>0.17</v>
      </c>
      <c r="V185" s="3" t="n">
        <f aca="false">S185+T185+U185</f>
        <v>0.904444444444445</v>
      </c>
      <c r="W185" s="3" t="n">
        <f aca="false">1/V185</f>
        <v>1.10565110565111</v>
      </c>
      <c r="X185" s="3" t="n">
        <f aca="false">INDEX(Shelter_Design!$R$2:$R$41,MATCH($B185,Shelter_Design!$A$2:$A$41,0))</f>
        <v>31.2</v>
      </c>
      <c r="Y185" s="3" t="n">
        <f aca="false">INDEX(Shelter_Design!$P$2:$P$41,MATCH($B185,Shelter_Design!$A$2:$A$41,0))</f>
        <v>1</v>
      </c>
      <c r="Z185" s="3" t="n">
        <f aca="false">INDEX(Shelter_Design!$G$2:$G$41,MATCH($B185,Shelter_Design!$A$2:$A$41,0))</f>
        <v>27.6</v>
      </c>
      <c r="AA185" s="3" t="n">
        <f aca="false">INDEX(Shelter_Design!$S$2:$S$41,MATCH($B185,Shelter_Design!$A$2:$A$41,0))</f>
        <v>0.031055900621118</v>
      </c>
      <c r="AB185" s="3" t="n">
        <f aca="false">INDEX(Shelter_Design!$Y$2:$Y$41,MATCH($B185,Shelter_Design!$A$2:$A$41,0))</f>
        <v>4</v>
      </c>
      <c r="AC185" s="3" t="str">
        <f aca="false">INDEX(Shelter_Design!$Z$2:$Z$41,MATCH($B185,Shelter_Design!$A$2:$A$41,0))</f>
        <v>Light-moderate</v>
      </c>
      <c r="AD185" s="3" t="n">
        <f aca="false">INDEX(Shelter_Design!$AA$2:$AA$41,MATCH($B185,Shelter_Design!$A$2:$A$41,0))</f>
        <v>1</v>
      </c>
      <c r="AE185" s="3" t="s">
        <v>304</v>
      </c>
    </row>
    <row r="186" customFormat="false" ht="15" hidden="false" customHeight="true" outlineLevel="0" collapsed="false">
      <c r="A186" s="3" t="s">
        <v>488</v>
      </c>
      <c r="B186" s="3" t="s">
        <v>288</v>
      </c>
      <c r="C186" s="3" t="s">
        <v>280</v>
      </c>
      <c r="D186" s="3" t="s">
        <v>303</v>
      </c>
      <c r="E186" s="3" t="s">
        <v>20</v>
      </c>
      <c r="F186" s="3" t="s">
        <v>22</v>
      </c>
      <c r="G186" s="3" t="str">
        <f aca="false">E186&amp;"-"&amp;F186</f>
        <v>Leh-January</v>
      </c>
      <c r="H186" s="3" t="n">
        <f aca="false">INDEX(Weather_Data!$K$2:$K$73,MATCH($G186,Weather_Data!$J$2:$J$73,0))</f>
        <v>-8</v>
      </c>
      <c r="I186" s="3" t="n">
        <f aca="false">INDEX(Weather_Data!$L$2:$L$73,MATCH($G186,Weather_Data!$J$2:$J$73,0))</f>
        <v>25</v>
      </c>
      <c r="J186" s="3" t="n">
        <f aca="false">INDEX(Weather_Data!$M$2:$M$73,MATCH($G186,Weather_Data!$J$2:$J$73,0))</f>
        <v>2</v>
      </c>
      <c r="K186" s="3" t="n">
        <f aca="false">INDEX(Weather_Data!$P$2:$P$73,MATCH($G186,Weather_Data!$J$2:$J$73,0))</f>
        <v>166.666666666667</v>
      </c>
      <c r="L186" s="3" t="n">
        <f aca="false">INDEX(Weather_Data!$Q$2:$Q$73,MATCH($G186,Weather_Data!$J$2:$J$73,0))</f>
        <v>5</v>
      </c>
      <c r="M186" s="3" t="str">
        <f aca="false">INDEX(Shelter_Design!$I$2:$I$41,MATCH($B186,Shelter_Design!$A$2:$A$41,0))</f>
        <v>M03+M12</v>
      </c>
      <c r="N186" s="3" t="n">
        <f aca="false">IFERROR(INDEX(Material_Properties!$D$2:$D$21,MATCH(M186,Material_Properties!$A$2:$A$21,0)),1)</f>
        <v>1</v>
      </c>
      <c r="O186" s="3" t="n">
        <f aca="false">INDEX(Shelter_Design!$M$2:$M$41,MATCH($B186,Shelter_Design!$A$2:$A$41,0))</f>
        <v>2</v>
      </c>
      <c r="P186" s="3" t="str">
        <f aca="false">INDEX(Shelter_Design!$L$2:$L$41,MATCH($B186,Shelter_Design!$A$2:$A$41,0))</f>
        <v>None</v>
      </c>
      <c r="Q186" s="3" t="n">
        <f aca="false">IF(P186="None",0,IFERROR(INDEX(Material_Properties!$D$2:$D$21,MATCH(P186,Material_Properties!$A$2:$A$21,0)),0))</f>
        <v>0</v>
      </c>
      <c r="R186" s="3" t="n">
        <f aca="false">INDEX(Shelter_Design!$O$2:$O$41,MATCH($B186,Shelter_Design!$A$2:$A$41,0))</f>
        <v>0</v>
      </c>
      <c r="S186" s="3" t="n">
        <f aca="false">(O186/1000)/N186</f>
        <v>0.002</v>
      </c>
      <c r="T186" s="3" t="n">
        <f aca="false">IF(OR(P186="None",Q186=0),0,(R186/1000)/Q186)</f>
        <v>0</v>
      </c>
      <c r="U186" s="3" t="n">
        <v>0.17</v>
      </c>
      <c r="V186" s="3" t="n">
        <f aca="false">S186+T186+U186</f>
        <v>0.172</v>
      </c>
      <c r="W186" s="3" t="n">
        <f aca="false">1/V186</f>
        <v>5.81395348837209</v>
      </c>
      <c r="X186" s="3" t="n">
        <f aca="false">INDEX(Shelter_Design!$R$2:$R$41,MATCH($B186,Shelter_Design!$A$2:$A$41,0))</f>
        <v>25.4</v>
      </c>
      <c r="Y186" s="3" t="n">
        <f aca="false">INDEX(Shelter_Design!$P$2:$P$41,MATCH($B186,Shelter_Design!$A$2:$A$41,0))</f>
        <v>1</v>
      </c>
      <c r="Z186" s="3" t="n">
        <f aca="false">INDEX(Shelter_Design!$G$2:$G$41,MATCH($B186,Shelter_Design!$A$2:$A$41,0))</f>
        <v>19.8</v>
      </c>
      <c r="AA186" s="3" t="n">
        <f aca="false">INDEX(Shelter_Design!$S$2:$S$41,MATCH($B186,Shelter_Design!$A$2:$A$41,0))</f>
        <v>0.0378787878787879</v>
      </c>
      <c r="AB186" s="3" t="n">
        <f aca="false">INDEX(Shelter_Design!$Y$2:$Y$41,MATCH($B186,Shelter_Design!$A$2:$A$41,0))</f>
        <v>2</v>
      </c>
      <c r="AC186" s="3" t="str">
        <f aca="false">INDEX(Shelter_Design!$Z$2:$Z$41,MATCH($B186,Shelter_Design!$A$2:$A$41,0))</f>
        <v>Light-moderate</v>
      </c>
      <c r="AD186" s="3" t="n">
        <f aca="false">INDEX(Shelter_Design!$AA$2:$AA$41,MATCH($B186,Shelter_Design!$A$2:$A$41,0))</f>
        <v>1</v>
      </c>
      <c r="AE186" s="3" t="s">
        <v>304</v>
      </c>
    </row>
    <row r="187" customFormat="false" ht="15" hidden="false" customHeight="true" outlineLevel="0" collapsed="false">
      <c r="A187" s="3" t="s">
        <v>489</v>
      </c>
      <c r="B187" s="3" t="s">
        <v>288</v>
      </c>
      <c r="C187" s="3" t="s">
        <v>280</v>
      </c>
      <c r="D187" s="3" t="s">
        <v>303</v>
      </c>
      <c r="E187" s="3" t="s">
        <v>20</v>
      </c>
      <c r="F187" s="3" t="s">
        <v>39</v>
      </c>
      <c r="G187" s="3" t="str">
        <f aca="false">E187&amp;"-"&amp;F187</f>
        <v>Leh-June</v>
      </c>
      <c r="H187" s="3" t="n">
        <f aca="false">INDEX(Weather_Data!$K$2:$K$73,MATCH($G187,Weather_Data!$J$2:$J$73,0))</f>
        <v>16</v>
      </c>
      <c r="I187" s="3" t="n">
        <f aca="false">INDEX(Weather_Data!$L$2:$L$73,MATCH($G187,Weather_Data!$J$2:$J$73,0))</f>
        <v>35</v>
      </c>
      <c r="J187" s="3" t="n">
        <f aca="false">INDEX(Weather_Data!$M$2:$M$73,MATCH($G187,Weather_Data!$J$2:$J$73,0))</f>
        <v>3.5</v>
      </c>
      <c r="K187" s="3" t="n">
        <f aca="false">INDEX(Weather_Data!$P$2:$P$73,MATCH($G187,Weather_Data!$J$2:$J$73,0))</f>
        <v>300</v>
      </c>
      <c r="L187" s="3" t="n">
        <f aca="false">INDEX(Weather_Data!$Q$2:$Q$73,MATCH($G187,Weather_Data!$J$2:$J$73,0))</f>
        <v>8</v>
      </c>
      <c r="M187" s="3" t="str">
        <f aca="false">INDEX(Shelter_Design!$I$2:$I$41,MATCH($B187,Shelter_Design!$A$2:$A$41,0))</f>
        <v>M03+M12</v>
      </c>
      <c r="N187" s="3" t="n">
        <f aca="false">IFERROR(INDEX(Material_Properties!$D$2:$D$21,MATCH(M187,Material_Properties!$A$2:$A$21,0)),1)</f>
        <v>1</v>
      </c>
      <c r="O187" s="3" t="n">
        <f aca="false">INDEX(Shelter_Design!$M$2:$M$41,MATCH($B187,Shelter_Design!$A$2:$A$41,0))</f>
        <v>2</v>
      </c>
      <c r="P187" s="3" t="str">
        <f aca="false">INDEX(Shelter_Design!$L$2:$L$41,MATCH($B187,Shelter_Design!$A$2:$A$41,0))</f>
        <v>None</v>
      </c>
      <c r="Q187" s="3" t="n">
        <f aca="false">IF(P187="None",0,IFERROR(INDEX(Material_Properties!$D$2:$D$21,MATCH(P187,Material_Properties!$A$2:$A$21,0)),0))</f>
        <v>0</v>
      </c>
      <c r="R187" s="3" t="n">
        <f aca="false">INDEX(Shelter_Design!$O$2:$O$41,MATCH($B187,Shelter_Design!$A$2:$A$41,0))</f>
        <v>0</v>
      </c>
      <c r="S187" s="3" t="n">
        <f aca="false">(O187/1000)/N187</f>
        <v>0.002</v>
      </c>
      <c r="T187" s="3" t="n">
        <f aca="false">IF(OR(P187="None",Q187=0),0,(R187/1000)/Q187)</f>
        <v>0</v>
      </c>
      <c r="U187" s="3" t="n">
        <v>0.17</v>
      </c>
      <c r="V187" s="3" t="n">
        <f aca="false">S187+T187+U187</f>
        <v>0.172</v>
      </c>
      <c r="W187" s="3" t="n">
        <f aca="false">1/V187</f>
        <v>5.81395348837209</v>
      </c>
      <c r="X187" s="3" t="n">
        <f aca="false">INDEX(Shelter_Design!$R$2:$R$41,MATCH($B187,Shelter_Design!$A$2:$A$41,0))</f>
        <v>25.4</v>
      </c>
      <c r="Y187" s="3" t="n">
        <f aca="false">INDEX(Shelter_Design!$P$2:$P$41,MATCH($B187,Shelter_Design!$A$2:$A$41,0))</f>
        <v>1</v>
      </c>
      <c r="Z187" s="3" t="n">
        <f aca="false">INDEX(Shelter_Design!$G$2:$G$41,MATCH($B187,Shelter_Design!$A$2:$A$41,0))</f>
        <v>19.8</v>
      </c>
      <c r="AA187" s="3" t="n">
        <f aca="false">INDEX(Shelter_Design!$S$2:$S$41,MATCH($B187,Shelter_Design!$A$2:$A$41,0))</f>
        <v>0.0378787878787879</v>
      </c>
      <c r="AB187" s="3" t="n">
        <f aca="false">INDEX(Shelter_Design!$Y$2:$Y$41,MATCH($B187,Shelter_Design!$A$2:$A$41,0))</f>
        <v>2</v>
      </c>
      <c r="AC187" s="3" t="str">
        <f aca="false">INDEX(Shelter_Design!$Z$2:$Z$41,MATCH($B187,Shelter_Design!$A$2:$A$41,0))</f>
        <v>Light-moderate</v>
      </c>
      <c r="AD187" s="3" t="n">
        <f aca="false">INDEX(Shelter_Design!$AA$2:$AA$41,MATCH($B187,Shelter_Design!$A$2:$A$41,0))</f>
        <v>1</v>
      </c>
      <c r="AE187" s="3" t="s">
        <v>304</v>
      </c>
    </row>
    <row r="188" customFormat="false" ht="15" hidden="false" customHeight="true" outlineLevel="0" collapsed="false">
      <c r="A188" s="3" t="s">
        <v>490</v>
      </c>
      <c r="B188" s="3" t="s">
        <v>288</v>
      </c>
      <c r="C188" s="3" t="s">
        <v>280</v>
      </c>
      <c r="D188" s="3" t="s">
        <v>303</v>
      </c>
      <c r="E188" s="3" t="s">
        <v>20</v>
      </c>
      <c r="F188" s="3" t="s">
        <v>46</v>
      </c>
      <c r="G188" s="3" t="str">
        <f aca="false">E188&amp;"-"&amp;F188</f>
        <v>Leh-September</v>
      </c>
      <c r="H188" s="3" t="n">
        <f aca="false">INDEX(Weather_Data!$K$2:$K$73,MATCH($G188,Weather_Data!$J$2:$J$73,0))</f>
        <v>14</v>
      </c>
      <c r="I188" s="3" t="n">
        <f aca="false">INDEX(Weather_Data!$L$2:$L$73,MATCH($G188,Weather_Data!$J$2:$J$73,0))</f>
        <v>35</v>
      </c>
      <c r="J188" s="3" t="n">
        <f aca="false">INDEX(Weather_Data!$M$2:$M$73,MATCH($G188,Weather_Data!$J$2:$J$73,0))</f>
        <v>3</v>
      </c>
      <c r="K188" s="3" t="n">
        <f aca="false">INDEX(Weather_Data!$P$2:$P$73,MATCH($G188,Weather_Data!$J$2:$J$73,0))</f>
        <v>250</v>
      </c>
      <c r="L188" s="3" t="n">
        <f aca="false">INDEX(Weather_Data!$Q$2:$Q$73,MATCH($G188,Weather_Data!$J$2:$J$73,0))</f>
        <v>8</v>
      </c>
      <c r="M188" s="3" t="str">
        <f aca="false">INDEX(Shelter_Design!$I$2:$I$41,MATCH($B188,Shelter_Design!$A$2:$A$41,0))</f>
        <v>M03+M12</v>
      </c>
      <c r="N188" s="3" t="n">
        <f aca="false">IFERROR(INDEX(Material_Properties!$D$2:$D$21,MATCH(M188,Material_Properties!$A$2:$A$21,0)),1)</f>
        <v>1</v>
      </c>
      <c r="O188" s="3" t="n">
        <f aca="false">INDEX(Shelter_Design!$M$2:$M$41,MATCH($B188,Shelter_Design!$A$2:$A$41,0))</f>
        <v>2</v>
      </c>
      <c r="P188" s="3" t="str">
        <f aca="false">INDEX(Shelter_Design!$L$2:$L$41,MATCH($B188,Shelter_Design!$A$2:$A$41,0))</f>
        <v>None</v>
      </c>
      <c r="Q188" s="3" t="n">
        <f aca="false">IF(P188="None",0,IFERROR(INDEX(Material_Properties!$D$2:$D$21,MATCH(P188,Material_Properties!$A$2:$A$21,0)),0))</f>
        <v>0</v>
      </c>
      <c r="R188" s="3" t="n">
        <f aca="false">INDEX(Shelter_Design!$O$2:$O$41,MATCH($B188,Shelter_Design!$A$2:$A$41,0))</f>
        <v>0</v>
      </c>
      <c r="S188" s="3" t="n">
        <f aca="false">(O188/1000)/N188</f>
        <v>0.002</v>
      </c>
      <c r="T188" s="3" t="n">
        <f aca="false">IF(OR(P188="None",Q188=0),0,(R188/1000)/Q188)</f>
        <v>0</v>
      </c>
      <c r="U188" s="3" t="n">
        <v>0.17</v>
      </c>
      <c r="V188" s="3" t="n">
        <f aca="false">S188+T188+U188</f>
        <v>0.172</v>
      </c>
      <c r="W188" s="3" t="n">
        <f aca="false">1/V188</f>
        <v>5.81395348837209</v>
      </c>
      <c r="X188" s="3" t="n">
        <f aca="false">INDEX(Shelter_Design!$R$2:$R$41,MATCH($B188,Shelter_Design!$A$2:$A$41,0))</f>
        <v>25.4</v>
      </c>
      <c r="Y188" s="3" t="n">
        <f aca="false">INDEX(Shelter_Design!$P$2:$P$41,MATCH($B188,Shelter_Design!$A$2:$A$41,0))</f>
        <v>1</v>
      </c>
      <c r="Z188" s="3" t="n">
        <f aca="false">INDEX(Shelter_Design!$G$2:$G$41,MATCH($B188,Shelter_Design!$A$2:$A$41,0))</f>
        <v>19.8</v>
      </c>
      <c r="AA188" s="3" t="n">
        <f aca="false">INDEX(Shelter_Design!$S$2:$S$41,MATCH($B188,Shelter_Design!$A$2:$A$41,0))</f>
        <v>0.0378787878787879</v>
      </c>
      <c r="AB188" s="3" t="n">
        <f aca="false">INDEX(Shelter_Design!$Y$2:$Y$41,MATCH($B188,Shelter_Design!$A$2:$A$41,0))</f>
        <v>2</v>
      </c>
      <c r="AC188" s="3" t="str">
        <f aca="false">INDEX(Shelter_Design!$Z$2:$Z$41,MATCH($B188,Shelter_Design!$A$2:$A$41,0))</f>
        <v>Light-moderate</v>
      </c>
      <c r="AD188" s="3" t="n">
        <f aca="false">INDEX(Shelter_Design!$AA$2:$AA$41,MATCH($B188,Shelter_Design!$A$2:$A$41,0))</f>
        <v>1</v>
      </c>
      <c r="AE188" s="3" t="s">
        <v>304</v>
      </c>
    </row>
    <row r="189" customFormat="false" ht="15" hidden="false" customHeight="true" outlineLevel="0" collapsed="false">
      <c r="A189" s="3" t="s">
        <v>491</v>
      </c>
      <c r="B189" s="3" t="s">
        <v>288</v>
      </c>
      <c r="C189" s="3" t="s">
        <v>280</v>
      </c>
      <c r="D189" s="3" t="s">
        <v>303</v>
      </c>
      <c r="E189" s="3" t="s">
        <v>67</v>
      </c>
      <c r="F189" s="3" t="s">
        <v>22</v>
      </c>
      <c r="G189" s="3" t="str">
        <f aca="false">E189&amp;"-"&amp;F189</f>
        <v>Chennai-January</v>
      </c>
      <c r="H189" s="3" t="n">
        <f aca="false">INDEX(Weather_Data!$K$2:$K$73,MATCH($G189,Weather_Data!$J$2:$J$73,0))</f>
        <v>25</v>
      </c>
      <c r="I189" s="3" t="n">
        <f aca="false">INDEX(Weather_Data!$L$2:$L$73,MATCH($G189,Weather_Data!$J$2:$J$73,0))</f>
        <v>72</v>
      </c>
      <c r="J189" s="3" t="n">
        <f aca="false">INDEX(Weather_Data!$M$2:$M$73,MATCH($G189,Weather_Data!$J$2:$J$73,0))</f>
        <v>3</v>
      </c>
      <c r="K189" s="3" t="n">
        <f aca="false">INDEX(Weather_Data!$P$2:$P$73,MATCH($G189,Weather_Data!$J$2:$J$73,0))</f>
        <v>187.5</v>
      </c>
      <c r="L189" s="3" t="n">
        <f aca="false">INDEX(Weather_Data!$Q$2:$Q$73,MATCH($G189,Weather_Data!$J$2:$J$73,0))</f>
        <v>25</v>
      </c>
      <c r="M189" s="3" t="str">
        <f aca="false">INDEX(Shelter_Design!$I$2:$I$41,MATCH($B189,Shelter_Design!$A$2:$A$41,0))</f>
        <v>M03+M12</v>
      </c>
      <c r="N189" s="3" t="n">
        <f aca="false">IFERROR(INDEX(Material_Properties!$D$2:$D$21,MATCH(M189,Material_Properties!$A$2:$A$21,0)),1)</f>
        <v>1</v>
      </c>
      <c r="O189" s="3" t="n">
        <f aca="false">INDEX(Shelter_Design!$M$2:$M$41,MATCH($B189,Shelter_Design!$A$2:$A$41,0))</f>
        <v>2</v>
      </c>
      <c r="P189" s="3" t="str">
        <f aca="false">INDEX(Shelter_Design!$L$2:$L$41,MATCH($B189,Shelter_Design!$A$2:$A$41,0))</f>
        <v>None</v>
      </c>
      <c r="Q189" s="3" t="n">
        <f aca="false">IF(P189="None",0,IFERROR(INDEX(Material_Properties!$D$2:$D$21,MATCH(P189,Material_Properties!$A$2:$A$21,0)),0))</f>
        <v>0</v>
      </c>
      <c r="R189" s="3" t="n">
        <f aca="false">INDEX(Shelter_Design!$O$2:$O$41,MATCH($B189,Shelter_Design!$A$2:$A$41,0))</f>
        <v>0</v>
      </c>
      <c r="S189" s="3" t="n">
        <f aca="false">(O189/1000)/N189</f>
        <v>0.002</v>
      </c>
      <c r="T189" s="3" t="n">
        <f aca="false">IF(OR(P189="None",Q189=0),0,(R189/1000)/Q189)</f>
        <v>0</v>
      </c>
      <c r="U189" s="3" t="n">
        <v>0.17</v>
      </c>
      <c r="V189" s="3" t="n">
        <f aca="false">S189+T189+U189</f>
        <v>0.172</v>
      </c>
      <c r="W189" s="3" t="n">
        <f aca="false">1/V189</f>
        <v>5.81395348837209</v>
      </c>
      <c r="X189" s="3" t="n">
        <f aca="false">INDEX(Shelter_Design!$R$2:$R$41,MATCH($B189,Shelter_Design!$A$2:$A$41,0))</f>
        <v>25.4</v>
      </c>
      <c r="Y189" s="3" t="n">
        <f aca="false">INDEX(Shelter_Design!$P$2:$P$41,MATCH($B189,Shelter_Design!$A$2:$A$41,0))</f>
        <v>1</v>
      </c>
      <c r="Z189" s="3" t="n">
        <f aca="false">INDEX(Shelter_Design!$G$2:$G$41,MATCH($B189,Shelter_Design!$A$2:$A$41,0))</f>
        <v>19.8</v>
      </c>
      <c r="AA189" s="3" t="n">
        <f aca="false">INDEX(Shelter_Design!$S$2:$S$41,MATCH($B189,Shelter_Design!$A$2:$A$41,0))</f>
        <v>0.0378787878787879</v>
      </c>
      <c r="AB189" s="3" t="n">
        <f aca="false">INDEX(Shelter_Design!$Y$2:$Y$41,MATCH($B189,Shelter_Design!$A$2:$A$41,0))</f>
        <v>2</v>
      </c>
      <c r="AC189" s="3" t="str">
        <f aca="false">INDEX(Shelter_Design!$Z$2:$Z$41,MATCH($B189,Shelter_Design!$A$2:$A$41,0))</f>
        <v>Light-moderate</v>
      </c>
      <c r="AD189" s="3" t="n">
        <f aca="false">INDEX(Shelter_Design!$AA$2:$AA$41,MATCH($B189,Shelter_Design!$A$2:$A$41,0))</f>
        <v>1</v>
      </c>
      <c r="AE189" s="3" t="s">
        <v>304</v>
      </c>
    </row>
    <row r="190" customFormat="false" ht="15" hidden="false" customHeight="true" outlineLevel="0" collapsed="false">
      <c r="A190" s="3" t="s">
        <v>492</v>
      </c>
      <c r="B190" s="3" t="s">
        <v>288</v>
      </c>
      <c r="C190" s="3" t="s">
        <v>280</v>
      </c>
      <c r="D190" s="3" t="s">
        <v>303</v>
      </c>
      <c r="E190" s="3" t="s">
        <v>67</v>
      </c>
      <c r="F190" s="3" t="s">
        <v>39</v>
      </c>
      <c r="G190" s="3" t="str">
        <f aca="false">E190&amp;"-"&amp;F190</f>
        <v>Chennai-June</v>
      </c>
      <c r="H190" s="3" t="n">
        <f aca="false">INDEX(Weather_Data!$K$2:$K$73,MATCH($G190,Weather_Data!$J$2:$J$73,0))</f>
        <v>33</v>
      </c>
      <c r="I190" s="3" t="n">
        <f aca="false">INDEX(Weather_Data!$L$2:$L$73,MATCH($G190,Weather_Data!$J$2:$J$73,0))</f>
        <v>60</v>
      </c>
      <c r="J190" s="3" t="n">
        <f aca="false">INDEX(Weather_Data!$M$2:$M$73,MATCH($G190,Weather_Data!$J$2:$J$73,0))</f>
        <v>4</v>
      </c>
      <c r="K190" s="3" t="n">
        <f aca="false">INDEX(Weather_Data!$P$2:$P$73,MATCH($G190,Weather_Data!$J$2:$J$73,0))</f>
        <v>229.166666666667</v>
      </c>
      <c r="L190" s="3" t="n">
        <f aca="false">INDEX(Weather_Data!$Q$2:$Q$73,MATCH($G190,Weather_Data!$J$2:$J$73,0))</f>
        <v>50</v>
      </c>
      <c r="M190" s="3" t="str">
        <f aca="false">INDEX(Shelter_Design!$I$2:$I$41,MATCH($B190,Shelter_Design!$A$2:$A$41,0))</f>
        <v>M03+M12</v>
      </c>
      <c r="N190" s="3" t="n">
        <f aca="false">IFERROR(INDEX(Material_Properties!$D$2:$D$21,MATCH(M190,Material_Properties!$A$2:$A$21,0)),1)</f>
        <v>1</v>
      </c>
      <c r="O190" s="3" t="n">
        <f aca="false">INDEX(Shelter_Design!$M$2:$M$41,MATCH($B190,Shelter_Design!$A$2:$A$41,0))</f>
        <v>2</v>
      </c>
      <c r="P190" s="3" t="str">
        <f aca="false">INDEX(Shelter_Design!$L$2:$L$41,MATCH($B190,Shelter_Design!$A$2:$A$41,0))</f>
        <v>None</v>
      </c>
      <c r="Q190" s="3" t="n">
        <f aca="false">IF(P190="None",0,IFERROR(INDEX(Material_Properties!$D$2:$D$21,MATCH(P190,Material_Properties!$A$2:$A$21,0)),0))</f>
        <v>0</v>
      </c>
      <c r="R190" s="3" t="n">
        <f aca="false">INDEX(Shelter_Design!$O$2:$O$41,MATCH($B190,Shelter_Design!$A$2:$A$41,0))</f>
        <v>0</v>
      </c>
      <c r="S190" s="3" t="n">
        <f aca="false">(O190/1000)/N190</f>
        <v>0.002</v>
      </c>
      <c r="T190" s="3" t="n">
        <f aca="false">IF(OR(P190="None",Q190=0),0,(R190/1000)/Q190)</f>
        <v>0</v>
      </c>
      <c r="U190" s="3" t="n">
        <v>0.17</v>
      </c>
      <c r="V190" s="3" t="n">
        <f aca="false">S190+T190+U190</f>
        <v>0.172</v>
      </c>
      <c r="W190" s="3" t="n">
        <f aca="false">1/V190</f>
        <v>5.81395348837209</v>
      </c>
      <c r="X190" s="3" t="n">
        <f aca="false">INDEX(Shelter_Design!$R$2:$R$41,MATCH($B190,Shelter_Design!$A$2:$A$41,0))</f>
        <v>25.4</v>
      </c>
      <c r="Y190" s="3" t="n">
        <f aca="false">INDEX(Shelter_Design!$P$2:$P$41,MATCH($B190,Shelter_Design!$A$2:$A$41,0))</f>
        <v>1</v>
      </c>
      <c r="Z190" s="3" t="n">
        <f aca="false">INDEX(Shelter_Design!$G$2:$G$41,MATCH($B190,Shelter_Design!$A$2:$A$41,0))</f>
        <v>19.8</v>
      </c>
      <c r="AA190" s="3" t="n">
        <f aca="false">INDEX(Shelter_Design!$S$2:$S$41,MATCH($B190,Shelter_Design!$A$2:$A$41,0))</f>
        <v>0.0378787878787879</v>
      </c>
      <c r="AB190" s="3" t="n">
        <f aca="false">INDEX(Shelter_Design!$Y$2:$Y$41,MATCH($B190,Shelter_Design!$A$2:$A$41,0))</f>
        <v>2</v>
      </c>
      <c r="AC190" s="3" t="str">
        <f aca="false">INDEX(Shelter_Design!$Z$2:$Z$41,MATCH($B190,Shelter_Design!$A$2:$A$41,0))</f>
        <v>Light-moderate</v>
      </c>
      <c r="AD190" s="3" t="n">
        <f aca="false">INDEX(Shelter_Design!$AA$2:$AA$41,MATCH($B190,Shelter_Design!$A$2:$A$41,0))</f>
        <v>1</v>
      </c>
      <c r="AE190" s="3" t="s">
        <v>304</v>
      </c>
    </row>
    <row r="191" customFormat="false" ht="15" hidden="false" customHeight="true" outlineLevel="0" collapsed="false">
      <c r="A191" s="3" t="s">
        <v>493</v>
      </c>
      <c r="B191" s="3" t="s">
        <v>288</v>
      </c>
      <c r="C191" s="3" t="s">
        <v>280</v>
      </c>
      <c r="D191" s="3" t="s">
        <v>303</v>
      </c>
      <c r="E191" s="3" t="s">
        <v>67</v>
      </c>
      <c r="F191" s="3" t="s">
        <v>46</v>
      </c>
      <c r="G191" s="3" t="str">
        <f aca="false">E191&amp;"-"&amp;F191</f>
        <v>Chennai-September</v>
      </c>
      <c r="H191" s="3" t="n">
        <f aca="false">INDEX(Weather_Data!$K$2:$K$73,MATCH($G191,Weather_Data!$J$2:$J$73,0))</f>
        <v>30</v>
      </c>
      <c r="I191" s="3" t="n">
        <f aca="false">INDEX(Weather_Data!$L$2:$L$73,MATCH($G191,Weather_Data!$J$2:$J$73,0))</f>
        <v>72</v>
      </c>
      <c r="J191" s="3" t="n">
        <f aca="false">INDEX(Weather_Data!$M$2:$M$73,MATCH($G191,Weather_Data!$J$2:$J$73,0))</f>
        <v>3.5</v>
      </c>
      <c r="K191" s="3" t="n">
        <f aca="false">INDEX(Weather_Data!$P$2:$P$73,MATCH($G191,Weather_Data!$J$2:$J$73,0))</f>
        <v>216.666666666667</v>
      </c>
      <c r="L191" s="3" t="n">
        <f aca="false">INDEX(Weather_Data!$Q$2:$Q$73,MATCH($G191,Weather_Data!$J$2:$J$73,0))</f>
        <v>120</v>
      </c>
      <c r="M191" s="3" t="str">
        <f aca="false">INDEX(Shelter_Design!$I$2:$I$41,MATCH($B191,Shelter_Design!$A$2:$A$41,0))</f>
        <v>M03+M12</v>
      </c>
      <c r="N191" s="3" t="n">
        <f aca="false">IFERROR(INDEX(Material_Properties!$D$2:$D$21,MATCH(M191,Material_Properties!$A$2:$A$21,0)),1)</f>
        <v>1</v>
      </c>
      <c r="O191" s="3" t="n">
        <f aca="false">INDEX(Shelter_Design!$M$2:$M$41,MATCH($B191,Shelter_Design!$A$2:$A$41,0))</f>
        <v>2</v>
      </c>
      <c r="P191" s="3" t="str">
        <f aca="false">INDEX(Shelter_Design!$L$2:$L$41,MATCH($B191,Shelter_Design!$A$2:$A$41,0))</f>
        <v>None</v>
      </c>
      <c r="Q191" s="3" t="n">
        <f aca="false">IF(P191="None",0,IFERROR(INDEX(Material_Properties!$D$2:$D$21,MATCH(P191,Material_Properties!$A$2:$A$21,0)),0))</f>
        <v>0</v>
      </c>
      <c r="R191" s="3" t="n">
        <f aca="false">INDEX(Shelter_Design!$O$2:$O$41,MATCH($B191,Shelter_Design!$A$2:$A$41,0))</f>
        <v>0</v>
      </c>
      <c r="S191" s="3" t="n">
        <f aca="false">(O191/1000)/N191</f>
        <v>0.002</v>
      </c>
      <c r="T191" s="3" t="n">
        <f aca="false">IF(OR(P191="None",Q191=0),0,(R191/1000)/Q191)</f>
        <v>0</v>
      </c>
      <c r="U191" s="3" t="n">
        <v>0.17</v>
      </c>
      <c r="V191" s="3" t="n">
        <f aca="false">S191+T191+U191</f>
        <v>0.172</v>
      </c>
      <c r="W191" s="3" t="n">
        <f aca="false">1/V191</f>
        <v>5.81395348837209</v>
      </c>
      <c r="X191" s="3" t="n">
        <f aca="false">INDEX(Shelter_Design!$R$2:$R$41,MATCH($B191,Shelter_Design!$A$2:$A$41,0))</f>
        <v>25.4</v>
      </c>
      <c r="Y191" s="3" t="n">
        <f aca="false">INDEX(Shelter_Design!$P$2:$P$41,MATCH($B191,Shelter_Design!$A$2:$A$41,0))</f>
        <v>1</v>
      </c>
      <c r="Z191" s="3" t="n">
        <f aca="false">INDEX(Shelter_Design!$G$2:$G$41,MATCH($B191,Shelter_Design!$A$2:$A$41,0))</f>
        <v>19.8</v>
      </c>
      <c r="AA191" s="3" t="n">
        <f aca="false">INDEX(Shelter_Design!$S$2:$S$41,MATCH($B191,Shelter_Design!$A$2:$A$41,0))</f>
        <v>0.0378787878787879</v>
      </c>
      <c r="AB191" s="3" t="n">
        <f aca="false">INDEX(Shelter_Design!$Y$2:$Y$41,MATCH($B191,Shelter_Design!$A$2:$A$41,0))</f>
        <v>2</v>
      </c>
      <c r="AC191" s="3" t="str">
        <f aca="false">INDEX(Shelter_Design!$Z$2:$Z$41,MATCH($B191,Shelter_Design!$A$2:$A$41,0))</f>
        <v>Light-moderate</v>
      </c>
      <c r="AD191" s="3" t="n">
        <f aca="false">INDEX(Shelter_Design!$AA$2:$AA$41,MATCH($B191,Shelter_Design!$A$2:$A$41,0))</f>
        <v>1</v>
      </c>
      <c r="AE191" s="3" t="s">
        <v>304</v>
      </c>
    </row>
    <row r="192" customFormat="false" ht="15" hidden="false" customHeight="true" outlineLevel="0" collapsed="false">
      <c r="A192" s="3" t="s">
        <v>494</v>
      </c>
      <c r="B192" s="3" t="s">
        <v>290</v>
      </c>
      <c r="C192" s="3" t="s">
        <v>280</v>
      </c>
      <c r="D192" s="3" t="s">
        <v>303</v>
      </c>
      <c r="E192" s="3" t="s">
        <v>20</v>
      </c>
      <c r="F192" s="3" t="s">
        <v>22</v>
      </c>
      <c r="G192" s="3" t="str">
        <f aca="false">E192&amp;"-"&amp;F192</f>
        <v>Leh-January</v>
      </c>
      <c r="H192" s="3" t="n">
        <f aca="false">INDEX(Weather_Data!$K$2:$K$73,MATCH($G192,Weather_Data!$J$2:$J$73,0))</f>
        <v>-8</v>
      </c>
      <c r="I192" s="3" t="n">
        <f aca="false">INDEX(Weather_Data!$L$2:$L$73,MATCH($G192,Weather_Data!$J$2:$J$73,0))</f>
        <v>25</v>
      </c>
      <c r="J192" s="3" t="n">
        <f aca="false">INDEX(Weather_Data!$M$2:$M$73,MATCH($G192,Weather_Data!$J$2:$J$73,0))</f>
        <v>2</v>
      </c>
      <c r="K192" s="3" t="n">
        <f aca="false">INDEX(Weather_Data!$P$2:$P$73,MATCH($G192,Weather_Data!$J$2:$J$73,0))</f>
        <v>166.666666666667</v>
      </c>
      <c r="L192" s="3" t="n">
        <f aca="false">INDEX(Weather_Data!$Q$2:$Q$73,MATCH($G192,Weather_Data!$J$2:$J$73,0))</f>
        <v>5</v>
      </c>
      <c r="M192" s="3" t="str">
        <f aca="false">INDEX(Shelter_Design!$I$2:$I$41,MATCH($B192,Shelter_Design!$A$2:$A$41,0))</f>
        <v>M03+M12</v>
      </c>
      <c r="N192" s="3" t="n">
        <f aca="false">IFERROR(INDEX(Material_Properties!$D$2:$D$21,MATCH(M192,Material_Properties!$A$2:$A$21,0)),1)</f>
        <v>1</v>
      </c>
      <c r="O192" s="3" t="n">
        <f aca="false">INDEX(Shelter_Design!$M$2:$M$41,MATCH($B192,Shelter_Design!$A$2:$A$41,0))</f>
        <v>2</v>
      </c>
      <c r="P192" s="3" t="str">
        <f aca="false">INDEX(Shelter_Design!$L$2:$L$41,MATCH($B192,Shelter_Design!$A$2:$A$41,0))</f>
        <v>None</v>
      </c>
      <c r="Q192" s="3" t="n">
        <f aca="false">IF(P192="None",0,IFERROR(INDEX(Material_Properties!$D$2:$D$21,MATCH(P192,Material_Properties!$A$2:$A$21,0)),0))</f>
        <v>0</v>
      </c>
      <c r="R192" s="3" t="n">
        <f aca="false">INDEX(Shelter_Design!$O$2:$O$41,MATCH($B192,Shelter_Design!$A$2:$A$41,0))</f>
        <v>0</v>
      </c>
      <c r="S192" s="3" t="n">
        <f aca="false">(O192/1000)/N192</f>
        <v>0.002</v>
      </c>
      <c r="T192" s="3" t="n">
        <f aca="false">IF(OR(P192="None",Q192=0),0,(R192/1000)/Q192)</f>
        <v>0</v>
      </c>
      <c r="U192" s="3" t="n">
        <v>0.17</v>
      </c>
      <c r="V192" s="3" t="n">
        <f aca="false">S192+T192+U192</f>
        <v>0.172</v>
      </c>
      <c r="W192" s="3" t="n">
        <f aca="false">1/V192</f>
        <v>5.81395348837209</v>
      </c>
      <c r="X192" s="3" t="n">
        <f aca="false">INDEX(Shelter_Design!$R$2:$R$41,MATCH($B192,Shelter_Design!$A$2:$A$41,0))</f>
        <v>31.2</v>
      </c>
      <c r="Y192" s="3" t="n">
        <f aca="false">INDEX(Shelter_Design!$P$2:$P$41,MATCH($B192,Shelter_Design!$A$2:$A$41,0))</f>
        <v>1</v>
      </c>
      <c r="Z192" s="3" t="n">
        <f aca="false">INDEX(Shelter_Design!$G$2:$G$41,MATCH($B192,Shelter_Design!$A$2:$A$41,0))</f>
        <v>27.6</v>
      </c>
      <c r="AA192" s="3" t="n">
        <f aca="false">INDEX(Shelter_Design!$S$2:$S$41,MATCH($B192,Shelter_Design!$A$2:$A$41,0))</f>
        <v>0.031055900621118</v>
      </c>
      <c r="AB192" s="3" t="n">
        <f aca="false">INDEX(Shelter_Design!$Y$2:$Y$41,MATCH($B192,Shelter_Design!$A$2:$A$41,0))</f>
        <v>4</v>
      </c>
      <c r="AC192" s="3" t="str">
        <f aca="false">INDEX(Shelter_Design!$Z$2:$Z$41,MATCH($B192,Shelter_Design!$A$2:$A$41,0))</f>
        <v>Light-moderate</v>
      </c>
      <c r="AD192" s="3" t="n">
        <f aca="false">INDEX(Shelter_Design!$AA$2:$AA$41,MATCH($B192,Shelter_Design!$A$2:$A$41,0))</f>
        <v>1</v>
      </c>
      <c r="AE192" s="3" t="s">
        <v>304</v>
      </c>
    </row>
    <row r="193" customFormat="false" ht="15" hidden="false" customHeight="true" outlineLevel="0" collapsed="false">
      <c r="A193" s="3" t="s">
        <v>495</v>
      </c>
      <c r="B193" s="3" t="s">
        <v>290</v>
      </c>
      <c r="C193" s="3" t="s">
        <v>280</v>
      </c>
      <c r="D193" s="3" t="s">
        <v>303</v>
      </c>
      <c r="E193" s="3" t="s">
        <v>20</v>
      </c>
      <c r="F193" s="3" t="s">
        <v>39</v>
      </c>
      <c r="G193" s="3" t="str">
        <f aca="false">E193&amp;"-"&amp;F193</f>
        <v>Leh-June</v>
      </c>
      <c r="H193" s="3" t="n">
        <f aca="false">INDEX(Weather_Data!$K$2:$K$73,MATCH($G193,Weather_Data!$J$2:$J$73,0))</f>
        <v>16</v>
      </c>
      <c r="I193" s="3" t="n">
        <f aca="false">INDEX(Weather_Data!$L$2:$L$73,MATCH($G193,Weather_Data!$J$2:$J$73,0))</f>
        <v>35</v>
      </c>
      <c r="J193" s="3" t="n">
        <f aca="false">INDEX(Weather_Data!$M$2:$M$73,MATCH($G193,Weather_Data!$J$2:$J$73,0))</f>
        <v>3.5</v>
      </c>
      <c r="K193" s="3" t="n">
        <f aca="false">INDEX(Weather_Data!$P$2:$P$73,MATCH($G193,Weather_Data!$J$2:$J$73,0))</f>
        <v>300</v>
      </c>
      <c r="L193" s="3" t="n">
        <f aca="false">INDEX(Weather_Data!$Q$2:$Q$73,MATCH($G193,Weather_Data!$J$2:$J$73,0))</f>
        <v>8</v>
      </c>
      <c r="M193" s="3" t="str">
        <f aca="false">INDEX(Shelter_Design!$I$2:$I$41,MATCH($B193,Shelter_Design!$A$2:$A$41,0))</f>
        <v>M03+M12</v>
      </c>
      <c r="N193" s="3" t="n">
        <f aca="false">IFERROR(INDEX(Material_Properties!$D$2:$D$21,MATCH(M193,Material_Properties!$A$2:$A$21,0)),1)</f>
        <v>1</v>
      </c>
      <c r="O193" s="3" t="n">
        <f aca="false">INDEX(Shelter_Design!$M$2:$M$41,MATCH($B193,Shelter_Design!$A$2:$A$41,0))</f>
        <v>2</v>
      </c>
      <c r="P193" s="3" t="str">
        <f aca="false">INDEX(Shelter_Design!$L$2:$L$41,MATCH($B193,Shelter_Design!$A$2:$A$41,0))</f>
        <v>None</v>
      </c>
      <c r="Q193" s="3" t="n">
        <f aca="false">IF(P193="None",0,IFERROR(INDEX(Material_Properties!$D$2:$D$21,MATCH(P193,Material_Properties!$A$2:$A$21,0)),0))</f>
        <v>0</v>
      </c>
      <c r="R193" s="3" t="n">
        <f aca="false">INDEX(Shelter_Design!$O$2:$O$41,MATCH($B193,Shelter_Design!$A$2:$A$41,0))</f>
        <v>0</v>
      </c>
      <c r="S193" s="3" t="n">
        <f aca="false">(O193/1000)/N193</f>
        <v>0.002</v>
      </c>
      <c r="T193" s="3" t="n">
        <f aca="false">IF(OR(P193="None",Q193=0),0,(R193/1000)/Q193)</f>
        <v>0</v>
      </c>
      <c r="U193" s="3" t="n">
        <v>0.17</v>
      </c>
      <c r="V193" s="3" t="n">
        <f aca="false">S193+T193+U193</f>
        <v>0.172</v>
      </c>
      <c r="W193" s="3" t="n">
        <f aca="false">1/V193</f>
        <v>5.81395348837209</v>
      </c>
      <c r="X193" s="3" t="n">
        <f aca="false">INDEX(Shelter_Design!$R$2:$R$41,MATCH($B193,Shelter_Design!$A$2:$A$41,0))</f>
        <v>31.2</v>
      </c>
      <c r="Y193" s="3" t="n">
        <f aca="false">INDEX(Shelter_Design!$P$2:$P$41,MATCH($B193,Shelter_Design!$A$2:$A$41,0))</f>
        <v>1</v>
      </c>
      <c r="Z193" s="3" t="n">
        <f aca="false">INDEX(Shelter_Design!$G$2:$G$41,MATCH($B193,Shelter_Design!$A$2:$A$41,0))</f>
        <v>27.6</v>
      </c>
      <c r="AA193" s="3" t="n">
        <f aca="false">INDEX(Shelter_Design!$S$2:$S$41,MATCH($B193,Shelter_Design!$A$2:$A$41,0))</f>
        <v>0.031055900621118</v>
      </c>
      <c r="AB193" s="3" t="n">
        <f aca="false">INDEX(Shelter_Design!$Y$2:$Y$41,MATCH($B193,Shelter_Design!$A$2:$A$41,0))</f>
        <v>4</v>
      </c>
      <c r="AC193" s="3" t="str">
        <f aca="false">INDEX(Shelter_Design!$Z$2:$Z$41,MATCH($B193,Shelter_Design!$A$2:$A$41,0))</f>
        <v>Light-moderate</v>
      </c>
      <c r="AD193" s="3" t="n">
        <f aca="false">INDEX(Shelter_Design!$AA$2:$AA$41,MATCH($B193,Shelter_Design!$A$2:$A$41,0))</f>
        <v>1</v>
      </c>
      <c r="AE193" s="3" t="s">
        <v>304</v>
      </c>
    </row>
    <row r="194" customFormat="false" ht="15" hidden="false" customHeight="true" outlineLevel="0" collapsed="false">
      <c r="A194" s="3" t="s">
        <v>496</v>
      </c>
      <c r="B194" s="3" t="s">
        <v>290</v>
      </c>
      <c r="C194" s="3" t="s">
        <v>280</v>
      </c>
      <c r="D194" s="3" t="s">
        <v>303</v>
      </c>
      <c r="E194" s="3" t="s">
        <v>20</v>
      </c>
      <c r="F194" s="3" t="s">
        <v>46</v>
      </c>
      <c r="G194" s="3" t="str">
        <f aca="false">E194&amp;"-"&amp;F194</f>
        <v>Leh-September</v>
      </c>
      <c r="H194" s="3" t="n">
        <f aca="false">INDEX(Weather_Data!$K$2:$K$73,MATCH($G194,Weather_Data!$J$2:$J$73,0))</f>
        <v>14</v>
      </c>
      <c r="I194" s="3" t="n">
        <f aca="false">INDEX(Weather_Data!$L$2:$L$73,MATCH($G194,Weather_Data!$J$2:$J$73,0))</f>
        <v>35</v>
      </c>
      <c r="J194" s="3" t="n">
        <f aca="false">INDEX(Weather_Data!$M$2:$M$73,MATCH($G194,Weather_Data!$J$2:$J$73,0))</f>
        <v>3</v>
      </c>
      <c r="K194" s="3" t="n">
        <f aca="false">INDEX(Weather_Data!$P$2:$P$73,MATCH($G194,Weather_Data!$J$2:$J$73,0))</f>
        <v>250</v>
      </c>
      <c r="L194" s="3" t="n">
        <f aca="false">INDEX(Weather_Data!$Q$2:$Q$73,MATCH($G194,Weather_Data!$J$2:$J$73,0))</f>
        <v>8</v>
      </c>
      <c r="M194" s="3" t="str">
        <f aca="false">INDEX(Shelter_Design!$I$2:$I$41,MATCH($B194,Shelter_Design!$A$2:$A$41,0))</f>
        <v>M03+M12</v>
      </c>
      <c r="N194" s="3" t="n">
        <f aca="false">IFERROR(INDEX(Material_Properties!$D$2:$D$21,MATCH(M194,Material_Properties!$A$2:$A$21,0)),1)</f>
        <v>1</v>
      </c>
      <c r="O194" s="3" t="n">
        <f aca="false">INDEX(Shelter_Design!$M$2:$M$41,MATCH($B194,Shelter_Design!$A$2:$A$41,0))</f>
        <v>2</v>
      </c>
      <c r="P194" s="3" t="str">
        <f aca="false">INDEX(Shelter_Design!$L$2:$L$41,MATCH($B194,Shelter_Design!$A$2:$A$41,0))</f>
        <v>None</v>
      </c>
      <c r="Q194" s="3" t="n">
        <f aca="false">IF(P194="None",0,IFERROR(INDEX(Material_Properties!$D$2:$D$21,MATCH(P194,Material_Properties!$A$2:$A$21,0)),0))</f>
        <v>0</v>
      </c>
      <c r="R194" s="3" t="n">
        <f aca="false">INDEX(Shelter_Design!$O$2:$O$41,MATCH($B194,Shelter_Design!$A$2:$A$41,0))</f>
        <v>0</v>
      </c>
      <c r="S194" s="3" t="n">
        <f aca="false">(O194/1000)/N194</f>
        <v>0.002</v>
      </c>
      <c r="T194" s="3" t="n">
        <f aca="false">IF(OR(P194="None",Q194=0),0,(R194/1000)/Q194)</f>
        <v>0</v>
      </c>
      <c r="U194" s="3" t="n">
        <v>0.17</v>
      </c>
      <c r="V194" s="3" t="n">
        <f aca="false">S194+T194+U194</f>
        <v>0.172</v>
      </c>
      <c r="W194" s="3" t="n">
        <f aca="false">1/V194</f>
        <v>5.81395348837209</v>
      </c>
      <c r="X194" s="3" t="n">
        <f aca="false">INDEX(Shelter_Design!$R$2:$R$41,MATCH($B194,Shelter_Design!$A$2:$A$41,0))</f>
        <v>31.2</v>
      </c>
      <c r="Y194" s="3" t="n">
        <f aca="false">INDEX(Shelter_Design!$P$2:$P$41,MATCH($B194,Shelter_Design!$A$2:$A$41,0))</f>
        <v>1</v>
      </c>
      <c r="Z194" s="3" t="n">
        <f aca="false">INDEX(Shelter_Design!$G$2:$G$41,MATCH($B194,Shelter_Design!$A$2:$A$41,0))</f>
        <v>27.6</v>
      </c>
      <c r="AA194" s="3" t="n">
        <f aca="false">INDEX(Shelter_Design!$S$2:$S$41,MATCH($B194,Shelter_Design!$A$2:$A$41,0))</f>
        <v>0.031055900621118</v>
      </c>
      <c r="AB194" s="3" t="n">
        <f aca="false">INDEX(Shelter_Design!$Y$2:$Y$41,MATCH($B194,Shelter_Design!$A$2:$A$41,0))</f>
        <v>4</v>
      </c>
      <c r="AC194" s="3" t="str">
        <f aca="false">INDEX(Shelter_Design!$Z$2:$Z$41,MATCH($B194,Shelter_Design!$A$2:$A$41,0))</f>
        <v>Light-moderate</v>
      </c>
      <c r="AD194" s="3" t="n">
        <f aca="false">INDEX(Shelter_Design!$AA$2:$AA$41,MATCH($B194,Shelter_Design!$A$2:$A$41,0))</f>
        <v>1</v>
      </c>
      <c r="AE194" s="3" t="s">
        <v>304</v>
      </c>
    </row>
    <row r="195" customFormat="false" ht="15" hidden="false" customHeight="true" outlineLevel="0" collapsed="false">
      <c r="A195" s="3" t="s">
        <v>497</v>
      </c>
      <c r="B195" s="3" t="s">
        <v>290</v>
      </c>
      <c r="C195" s="3" t="s">
        <v>280</v>
      </c>
      <c r="D195" s="3" t="s">
        <v>303</v>
      </c>
      <c r="E195" s="3" t="s">
        <v>67</v>
      </c>
      <c r="F195" s="3" t="s">
        <v>22</v>
      </c>
      <c r="G195" s="3" t="str">
        <f aca="false">E195&amp;"-"&amp;F195</f>
        <v>Chennai-January</v>
      </c>
      <c r="H195" s="3" t="n">
        <f aca="false">INDEX(Weather_Data!$K$2:$K$73,MATCH($G195,Weather_Data!$J$2:$J$73,0))</f>
        <v>25</v>
      </c>
      <c r="I195" s="3" t="n">
        <f aca="false">INDEX(Weather_Data!$L$2:$L$73,MATCH($G195,Weather_Data!$J$2:$J$73,0))</f>
        <v>72</v>
      </c>
      <c r="J195" s="3" t="n">
        <f aca="false">INDEX(Weather_Data!$M$2:$M$73,MATCH($G195,Weather_Data!$J$2:$J$73,0))</f>
        <v>3</v>
      </c>
      <c r="K195" s="3" t="n">
        <f aca="false">INDEX(Weather_Data!$P$2:$P$73,MATCH($G195,Weather_Data!$J$2:$J$73,0))</f>
        <v>187.5</v>
      </c>
      <c r="L195" s="3" t="n">
        <f aca="false">INDEX(Weather_Data!$Q$2:$Q$73,MATCH($G195,Weather_Data!$J$2:$J$73,0))</f>
        <v>25</v>
      </c>
      <c r="M195" s="3" t="str">
        <f aca="false">INDEX(Shelter_Design!$I$2:$I$41,MATCH($B195,Shelter_Design!$A$2:$A$41,0))</f>
        <v>M03+M12</v>
      </c>
      <c r="N195" s="3" t="n">
        <f aca="false">IFERROR(INDEX(Material_Properties!$D$2:$D$21,MATCH(M195,Material_Properties!$A$2:$A$21,0)),1)</f>
        <v>1</v>
      </c>
      <c r="O195" s="3" t="n">
        <f aca="false">INDEX(Shelter_Design!$M$2:$M$41,MATCH($B195,Shelter_Design!$A$2:$A$41,0))</f>
        <v>2</v>
      </c>
      <c r="P195" s="3" t="str">
        <f aca="false">INDEX(Shelter_Design!$L$2:$L$41,MATCH($B195,Shelter_Design!$A$2:$A$41,0))</f>
        <v>None</v>
      </c>
      <c r="Q195" s="3" t="n">
        <f aca="false">IF(P195="None",0,IFERROR(INDEX(Material_Properties!$D$2:$D$21,MATCH(P195,Material_Properties!$A$2:$A$21,0)),0))</f>
        <v>0</v>
      </c>
      <c r="R195" s="3" t="n">
        <f aca="false">INDEX(Shelter_Design!$O$2:$O$41,MATCH($B195,Shelter_Design!$A$2:$A$41,0))</f>
        <v>0</v>
      </c>
      <c r="S195" s="3" t="n">
        <f aca="false">(O195/1000)/N195</f>
        <v>0.002</v>
      </c>
      <c r="T195" s="3" t="n">
        <f aca="false">IF(OR(P195="None",Q195=0),0,(R195/1000)/Q195)</f>
        <v>0</v>
      </c>
      <c r="U195" s="3" t="n">
        <v>0.17</v>
      </c>
      <c r="V195" s="3" t="n">
        <f aca="false">S195+T195+U195</f>
        <v>0.172</v>
      </c>
      <c r="W195" s="3" t="n">
        <f aca="false">1/V195</f>
        <v>5.81395348837209</v>
      </c>
      <c r="X195" s="3" t="n">
        <f aca="false">INDEX(Shelter_Design!$R$2:$R$41,MATCH($B195,Shelter_Design!$A$2:$A$41,0))</f>
        <v>31.2</v>
      </c>
      <c r="Y195" s="3" t="n">
        <f aca="false">INDEX(Shelter_Design!$P$2:$P$41,MATCH($B195,Shelter_Design!$A$2:$A$41,0))</f>
        <v>1</v>
      </c>
      <c r="Z195" s="3" t="n">
        <f aca="false">INDEX(Shelter_Design!$G$2:$G$41,MATCH($B195,Shelter_Design!$A$2:$A$41,0))</f>
        <v>27.6</v>
      </c>
      <c r="AA195" s="3" t="n">
        <f aca="false">INDEX(Shelter_Design!$S$2:$S$41,MATCH($B195,Shelter_Design!$A$2:$A$41,0))</f>
        <v>0.031055900621118</v>
      </c>
      <c r="AB195" s="3" t="n">
        <f aca="false">INDEX(Shelter_Design!$Y$2:$Y$41,MATCH($B195,Shelter_Design!$A$2:$A$41,0))</f>
        <v>4</v>
      </c>
      <c r="AC195" s="3" t="str">
        <f aca="false">INDEX(Shelter_Design!$Z$2:$Z$41,MATCH($B195,Shelter_Design!$A$2:$A$41,0))</f>
        <v>Light-moderate</v>
      </c>
      <c r="AD195" s="3" t="n">
        <f aca="false">INDEX(Shelter_Design!$AA$2:$AA$41,MATCH($B195,Shelter_Design!$A$2:$A$41,0))</f>
        <v>1</v>
      </c>
      <c r="AE195" s="3" t="s">
        <v>304</v>
      </c>
    </row>
    <row r="196" customFormat="false" ht="15" hidden="false" customHeight="true" outlineLevel="0" collapsed="false">
      <c r="A196" s="3" t="s">
        <v>498</v>
      </c>
      <c r="B196" s="3" t="s">
        <v>290</v>
      </c>
      <c r="C196" s="3" t="s">
        <v>280</v>
      </c>
      <c r="D196" s="3" t="s">
        <v>303</v>
      </c>
      <c r="E196" s="3" t="s">
        <v>67</v>
      </c>
      <c r="F196" s="3" t="s">
        <v>39</v>
      </c>
      <c r="G196" s="3" t="str">
        <f aca="false">E196&amp;"-"&amp;F196</f>
        <v>Chennai-June</v>
      </c>
      <c r="H196" s="3" t="n">
        <f aca="false">INDEX(Weather_Data!$K$2:$K$73,MATCH($G196,Weather_Data!$J$2:$J$73,0))</f>
        <v>33</v>
      </c>
      <c r="I196" s="3" t="n">
        <f aca="false">INDEX(Weather_Data!$L$2:$L$73,MATCH($G196,Weather_Data!$J$2:$J$73,0))</f>
        <v>60</v>
      </c>
      <c r="J196" s="3" t="n">
        <f aca="false">INDEX(Weather_Data!$M$2:$M$73,MATCH($G196,Weather_Data!$J$2:$J$73,0))</f>
        <v>4</v>
      </c>
      <c r="K196" s="3" t="n">
        <f aca="false">INDEX(Weather_Data!$P$2:$P$73,MATCH($G196,Weather_Data!$J$2:$J$73,0))</f>
        <v>229.166666666667</v>
      </c>
      <c r="L196" s="3" t="n">
        <f aca="false">INDEX(Weather_Data!$Q$2:$Q$73,MATCH($G196,Weather_Data!$J$2:$J$73,0))</f>
        <v>50</v>
      </c>
      <c r="M196" s="3" t="str">
        <f aca="false">INDEX(Shelter_Design!$I$2:$I$41,MATCH($B196,Shelter_Design!$A$2:$A$41,0))</f>
        <v>M03+M12</v>
      </c>
      <c r="N196" s="3" t="n">
        <f aca="false">IFERROR(INDEX(Material_Properties!$D$2:$D$21,MATCH(M196,Material_Properties!$A$2:$A$21,0)),1)</f>
        <v>1</v>
      </c>
      <c r="O196" s="3" t="n">
        <f aca="false">INDEX(Shelter_Design!$M$2:$M$41,MATCH($B196,Shelter_Design!$A$2:$A$41,0))</f>
        <v>2</v>
      </c>
      <c r="P196" s="3" t="str">
        <f aca="false">INDEX(Shelter_Design!$L$2:$L$41,MATCH($B196,Shelter_Design!$A$2:$A$41,0))</f>
        <v>None</v>
      </c>
      <c r="Q196" s="3" t="n">
        <f aca="false">IF(P196="None",0,IFERROR(INDEX(Material_Properties!$D$2:$D$21,MATCH(P196,Material_Properties!$A$2:$A$21,0)),0))</f>
        <v>0</v>
      </c>
      <c r="R196" s="3" t="n">
        <f aca="false">INDEX(Shelter_Design!$O$2:$O$41,MATCH($B196,Shelter_Design!$A$2:$A$41,0))</f>
        <v>0</v>
      </c>
      <c r="S196" s="3" t="n">
        <f aca="false">(O196/1000)/N196</f>
        <v>0.002</v>
      </c>
      <c r="T196" s="3" t="n">
        <f aca="false">IF(OR(P196="None",Q196=0),0,(R196/1000)/Q196)</f>
        <v>0</v>
      </c>
      <c r="U196" s="3" t="n">
        <v>0.17</v>
      </c>
      <c r="V196" s="3" t="n">
        <f aca="false">S196+T196+U196</f>
        <v>0.172</v>
      </c>
      <c r="W196" s="3" t="n">
        <f aca="false">1/V196</f>
        <v>5.81395348837209</v>
      </c>
      <c r="X196" s="3" t="n">
        <f aca="false">INDEX(Shelter_Design!$R$2:$R$41,MATCH($B196,Shelter_Design!$A$2:$A$41,0))</f>
        <v>31.2</v>
      </c>
      <c r="Y196" s="3" t="n">
        <f aca="false">INDEX(Shelter_Design!$P$2:$P$41,MATCH($B196,Shelter_Design!$A$2:$A$41,0))</f>
        <v>1</v>
      </c>
      <c r="Z196" s="3" t="n">
        <f aca="false">INDEX(Shelter_Design!$G$2:$G$41,MATCH($B196,Shelter_Design!$A$2:$A$41,0))</f>
        <v>27.6</v>
      </c>
      <c r="AA196" s="3" t="n">
        <f aca="false">INDEX(Shelter_Design!$S$2:$S$41,MATCH($B196,Shelter_Design!$A$2:$A$41,0))</f>
        <v>0.031055900621118</v>
      </c>
      <c r="AB196" s="3" t="n">
        <f aca="false">INDEX(Shelter_Design!$Y$2:$Y$41,MATCH($B196,Shelter_Design!$A$2:$A$41,0))</f>
        <v>4</v>
      </c>
      <c r="AC196" s="3" t="str">
        <f aca="false">INDEX(Shelter_Design!$Z$2:$Z$41,MATCH($B196,Shelter_Design!$A$2:$A$41,0))</f>
        <v>Light-moderate</v>
      </c>
      <c r="AD196" s="3" t="n">
        <f aca="false">INDEX(Shelter_Design!$AA$2:$AA$41,MATCH($B196,Shelter_Design!$A$2:$A$41,0))</f>
        <v>1</v>
      </c>
      <c r="AE196" s="3" t="s">
        <v>304</v>
      </c>
    </row>
    <row r="197" customFormat="false" ht="15" hidden="false" customHeight="true" outlineLevel="0" collapsed="false">
      <c r="A197" s="3" t="s">
        <v>499</v>
      </c>
      <c r="B197" s="3" t="s">
        <v>290</v>
      </c>
      <c r="C197" s="3" t="s">
        <v>280</v>
      </c>
      <c r="D197" s="3" t="s">
        <v>303</v>
      </c>
      <c r="E197" s="3" t="s">
        <v>67</v>
      </c>
      <c r="F197" s="3" t="s">
        <v>46</v>
      </c>
      <c r="G197" s="3" t="str">
        <f aca="false">E197&amp;"-"&amp;F197</f>
        <v>Chennai-September</v>
      </c>
      <c r="H197" s="3" t="n">
        <f aca="false">INDEX(Weather_Data!$K$2:$K$73,MATCH($G197,Weather_Data!$J$2:$J$73,0))</f>
        <v>30</v>
      </c>
      <c r="I197" s="3" t="n">
        <f aca="false">INDEX(Weather_Data!$L$2:$L$73,MATCH($G197,Weather_Data!$J$2:$J$73,0))</f>
        <v>72</v>
      </c>
      <c r="J197" s="3" t="n">
        <f aca="false">INDEX(Weather_Data!$M$2:$M$73,MATCH($G197,Weather_Data!$J$2:$J$73,0))</f>
        <v>3.5</v>
      </c>
      <c r="K197" s="3" t="n">
        <f aca="false">INDEX(Weather_Data!$P$2:$P$73,MATCH($G197,Weather_Data!$J$2:$J$73,0))</f>
        <v>216.666666666667</v>
      </c>
      <c r="L197" s="3" t="n">
        <f aca="false">INDEX(Weather_Data!$Q$2:$Q$73,MATCH($G197,Weather_Data!$J$2:$J$73,0))</f>
        <v>120</v>
      </c>
      <c r="M197" s="3" t="str">
        <f aca="false">INDEX(Shelter_Design!$I$2:$I$41,MATCH($B197,Shelter_Design!$A$2:$A$41,0))</f>
        <v>M03+M12</v>
      </c>
      <c r="N197" s="3" t="n">
        <f aca="false">IFERROR(INDEX(Material_Properties!$D$2:$D$21,MATCH(M197,Material_Properties!$A$2:$A$21,0)),1)</f>
        <v>1</v>
      </c>
      <c r="O197" s="3" t="n">
        <f aca="false">INDEX(Shelter_Design!$M$2:$M$41,MATCH($B197,Shelter_Design!$A$2:$A$41,0))</f>
        <v>2</v>
      </c>
      <c r="P197" s="3" t="str">
        <f aca="false">INDEX(Shelter_Design!$L$2:$L$41,MATCH($B197,Shelter_Design!$A$2:$A$41,0))</f>
        <v>None</v>
      </c>
      <c r="Q197" s="3" t="n">
        <f aca="false">IF(P197="None",0,IFERROR(INDEX(Material_Properties!$D$2:$D$21,MATCH(P197,Material_Properties!$A$2:$A$21,0)),0))</f>
        <v>0</v>
      </c>
      <c r="R197" s="3" t="n">
        <f aca="false">INDEX(Shelter_Design!$O$2:$O$41,MATCH($B197,Shelter_Design!$A$2:$A$41,0))</f>
        <v>0</v>
      </c>
      <c r="S197" s="3" t="n">
        <f aca="false">(O197/1000)/N197</f>
        <v>0.002</v>
      </c>
      <c r="T197" s="3" t="n">
        <f aca="false">IF(OR(P197="None",Q197=0),0,(R197/1000)/Q197)</f>
        <v>0</v>
      </c>
      <c r="U197" s="3" t="n">
        <v>0.17</v>
      </c>
      <c r="V197" s="3" t="n">
        <f aca="false">S197+T197+U197</f>
        <v>0.172</v>
      </c>
      <c r="W197" s="3" t="n">
        <f aca="false">1/V197</f>
        <v>5.81395348837209</v>
      </c>
      <c r="X197" s="3" t="n">
        <f aca="false">INDEX(Shelter_Design!$R$2:$R$41,MATCH($B197,Shelter_Design!$A$2:$A$41,0))</f>
        <v>31.2</v>
      </c>
      <c r="Y197" s="3" t="n">
        <f aca="false">INDEX(Shelter_Design!$P$2:$P$41,MATCH($B197,Shelter_Design!$A$2:$A$41,0))</f>
        <v>1</v>
      </c>
      <c r="Z197" s="3" t="n">
        <f aca="false">INDEX(Shelter_Design!$G$2:$G$41,MATCH($B197,Shelter_Design!$A$2:$A$41,0))</f>
        <v>27.6</v>
      </c>
      <c r="AA197" s="3" t="n">
        <f aca="false">INDEX(Shelter_Design!$S$2:$S$41,MATCH($B197,Shelter_Design!$A$2:$A$41,0))</f>
        <v>0.031055900621118</v>
      </c>
      <c r="AB197" s="3" t="n">
        <f aca="false">INDEX(Shelter_Design!$Y$2:$Y$41,MATCH($B197,Shelter_Design!$A$2:$A$41,0))</f>
        <v>4</v>
      </c>
      <c r="AC197" s="3" t="str">
        <f aca="false">INDEX(Shelter_Design!$Z$2:$Z$41,MATCH($B197,Shelter_Design!$A$2:$A$41,0))</f>
        <v>Light-moderate</v>
      </c>
      <c r="AD197" s="3" t="n">
        <f aca="false">INDEX(Shelter_Design!$AA$2:$AA$41,MATCH($B197,Shelter_Design!$A$2:$A$41,0))</f>
        <v>1</v>
      </c>
      <c r="AE197" s="3" t="s">
        <v>304</v>
      </c>
    </row>
    <row r="198" customFormat="false" ht="15" hidden="false" customHeight="true" outlineLevel="0" collapsed="false">
      <c r="A198" s="3" t="s">
        <v>500</v>
      </c>
      <c r="B198" s="3" t="s">
        <v>291</v>
      </c>
      <c r="C198" s="3" t="s">
        <v>280</v>
      </c>
      <c r="D198" s="3" t="s">
        <v>303</v>
      </c>
      <c r="E198" s="3" t="s">
        <v>20</v>
      </c>
      <c r="F198" s="3" t="s">
        <v>22</v>
      </c>
      <c r="G198" s="3" t="str">
        <f aca="false">E198&amp;"-"&amp;F198</f>
        <v>Leh-January</v>
      </c>
      <c r="H198" s="3" t="n">
        <f aca="false">INDEX(Weather_Data!$K$2:$K$73,MATCH($G198,Weather_Data!$J$2:$J$73,0))</f>
        <v>-8</v>
      </c>
      <c r="I198" s="3" t="n">
        <f aca="false">INDEX(Weather_Data!$L$2:$L$73,MATCH($G198,Weather_Data!$J$2:$J$73,0))</f>
        <v>25</v>
      </c>
      <c r="J198" s="3" t="n">
        <f aca="false">INDEX(Weather_Data!$M$2:$M$73,MATCH($G198,Weather_Data!$J$2:$J$73,0))</f>
        <v>2</v>
      </c>
      <c r="K198" s="3" t="n">
        <f aca="false">INDEX(Weather_Data!$P$2:$P$73,MATCH($G198,Weather_Data!$J$2:$J$73,0))</f>
        <v>166.666666666667</v>
      </c>
      <c r="L198" s="3" t="n">
        <f aca="false">INDEX(Weather_Data!$Q$2:$Q$73,MATCH($G198,Weather_Data!$J$2:$J$73,0))</f>
        <v>5</v>
      </c>
      <c r="M198" s="3" t="str">
        <f aca="false">INDEX(Shelter_Design!$I$2:$I$41,MATCH($B198,Shelter_Design!$A$2:$A$41,0))</f>
        <v>M03+M12</v>
      </c>
      <c r="N198" s="3" t="n">
        <f aca="false">IFERROR(INDEX(Material_Properties!$D$2:$D$21,MATCH(M198,Material_Properties!$A$2:$A$21,0)),1)</f>
        <v>1</v>
      </c>
      <c r="O198" s="3" t="n">
        <f aca="false">INDEX(Shelter_Design!$M$2:$M$41,MATCH($B198,Shelter_Design!$A$2:$A$41,0))</f>
        <v>2</v>
      </c>
      <c r="P198" s="3" t="str">
        <f aca="false">INDEX(Shelter_Design!$L$2:$L$41,MATCH($B198,Shelter_Design!$A$2:$A$41,0))</f>
        <v>M07</v>
      </c>
      <c r="Q198" s="3" t="n">
        <f aca="false">IF(P198="None",0,IFERROR(INDEX(Material_Properties!$D$2:$D$21,MATCH(P198,Material_Properties!$A$2:$A$21,0)),0))</f>
        <v>0.036</v>
      </c>
      <c r="R198" s="3" t="n">
        <f aca="false">INDEX(Shelter_Design!$O$2:$O$41,MATCH($B198,Shelter_Design!$A$2:$A$41,0))</f>
        <v>25</v>
      </c>
      <c r="S198" s="3" t="n">
        <f aca="false">(O198/1000)/N198</f>
        <v>0.002</v>
      </c>
      <c r="T198" s="3" t="n">
        <f aca="false">IF(OR(P198="None",Q198=0),0,(R198/1000)/Q198)</f>
        <v>0.694444444444445</v>
      </c>
      <c r="U198" s="3" t="n">
        <v>0.17</v>
      </c>
      <c r="V198" s="3" t="n">
        <f aca="false">S198+T198+U198</f>
        <v>0.866444444444445</v>
      </c>
      <c r="W198" s="3" t="n">
        <f aca="false">1/V198</f>
        <v>1.1541420877148</v>
      </c>
      <c r="X198" s="3" t="n">
        <f aca="false">INDEX(Shelter_Design!$R$2:$R$41,MATCH($B198,Shelter_Design!$A$2:$A$41,0))</f>
        <v>25.4</v>
      </c>
      <c r="Y198" s="3" t="n">
        <f aca="false">INDEX(Shelter_Design!$P$2:$P$41,MATCH($B198,Shelter_Design!$A$2:$A$41,0))</f>
        <v>1</v>
      </c>
      <c r="Z198" s="3" t="n">
        <f aca="false">INDEX(Shelter_Design!$G$2:$G$41,MATCH($B198,Shelter_Design!$A$2:$A$41,0))</f>
        <v>19.8</v>
      </c>
      <c r="AA198" s="3" t="n">
        <f aca="false">INDEX(Shelter_Design!$S$2:$S$41,MATCH($B198,Shelter_Design!$A$2:$A$41,0))</f>
        <v>0.0378787878787879</v>
      </c>
      <c r="AB198" s="3" t="n">
        <f aca="false">INDEX(Shelter_Design!$Y$2:$Y$41,MATCH($B198,Shelter_Design!$A$2:$A$41,0))</f>
        <v>2</v>
      </c>
      <c r="AC198" s="3" t="str">
        <f aca="false">INDEX(Shelter_Design!$Z$2:$Z$41,MATCH($B198,Shelter_Design!$A$2:$A$41,0))</f>
        <v>Light-moderate</v>
      </c>
      <c r="AD198" s="3" t="n">
        <f aca="false">INDEX(Shelter_Design!$AA$2:$AA$41,MATCH($B198,Shelter_Design!$A$2:$A$41,0))</f>
        <v>1</v>
      </c>
      <c r="AE198" s="3" t="s">
        <v>304</v>
      </c>
    </row>
    <row r="199" customFormat="false" ht="15" hidden="false" customHeight="true" outlineLevel="0" collapsed="false">
      <c r="A199" s="3" t="s">
        <v>501</v>
      </c>
      <c r="B199" s="3" t="s">
        <v>291</v>
      </c>
      <c r="C199" s="3" t="s">
        <v>280</v>
      </c>
      <c r="D199" s="3" t="s">
        <v>303</v>
      </c>
      <c r="E199" s="3" t="s">
        <v>20</v>
      </c>
      <c r="F199" s="3" t="s">
        <v>39</v>
      </c>
      <c r="G199" s="3" t="str">
        <f aca="false">E199&amp;"-"&amp;F199</f>
        <v>Leh-June</v>
      </c>
      <c r="H199" s="3" t="n">
        <f aca="false">INDEX(Weather_Data!$K$2:$K$73,MATCH($G199,Weather_Data!$J$2:$J$73,0))</f>
        <v>16</v>
      </c>
      <c r="I199" s="3" t="n">
        <f aca="false">INDEX(Weather_Data!$L$2:$L$73,MATCH($G199,Weather_Data!$J$2:$J$73,0))</f>
        <v>35</v>
      </c>
      <c r="J199" s="3" t="n">
        <f aca="false">INDEX(Weather_Data!$M$2:$M$73,MATCH($G199,Weather_Data!$J$2:$J$73,0))</f>
        <v>3.5</v>
      </c>
      <c r="K199" s="3" t="n">
        <f aca="false">INDEX(Weather_Data!$P$2:$P$73,MATCH($G199,Weather_Data!$J$2:$J$73,0))</f>
        <v>300</v>
      </c>
      <c r="L199" s="3" t="n">
        <f aca="false">INDEX(Weather_Data!$Q$2:$Q$73,MATCH($G199,Weather_Data!$J$2:$J$73,0))</f>
        <v>8</v>
      </c>
      <c r="M199" s="3" t="str">
        <f aca="false">INDEX(Shelter_Design!$I$2:$I$41,MATCH($B199,Shelter_Design!$A$2:$A$41,0))</f>
        <v>M03+M12</v>
      </c>
      <c r="N199" s="3" t="n">
        <f aca="false">IFERROR(INDEX(Material_Properties!$D$2:$D$21,MATCH(M199,Material_Properties!$A$2:$A$21,0)),1)</f>
        <v>1</v>
      </c>
      <c r="O199" s="3" t="n">
        <f aca="false">INDEX(Shelter_Design!$M$2:$M$41,MATCH($B199,Shelter_Design!$A$2:$A$41,0))</f>
        <v>2</v>
      </c>
      <c r="P199" s="3" t="str">
        <f aca="false">INDEX(Shelter_Design!$L$2:$L$41,MATCH($B199,Shelter_Design!$A$2:$A$41,0))</f>
        <v>M07</v>
      </c>
      <c r="Q199" s="3" t="n">
        <f aca="false">IF(P199="None",0,IFERROR(INDEX(Material_Properties!$D$2:$D$21,MATCH(P199,Material_Properties!$A$2:$A$21,0)),0))</f>
        <v>0.036</v>
      </c>
      <c r="R199" s="3" t="n">
        <f aca="false">INDEX(Shelter_Design!$O$2:$O$41,MATCH($B199,Shelter_Design!$A$2:$A$41,0))</f>
        <v>25</v>
      </c>
      <c r="S199" s="3" t="n">
        <f aca="false">(O199/1000)/N199</f>
        <v>0.002</v>
      </c>
      <c r="T199" s="3" t="n">
        <f aca="false">IF(OR(P199="None",Q199=0),0,(R199/1000)/Q199)</f>
        <v>0.694444444444445</v>
      </c>
      <c r="U199" s="3" t="n">
        <v>0.17</v>
      </c>
      <c r="V199" s="3" t="n">
        <f aca="false">S199+T199+U199</f>
        <v>0.866444444444445</v>
      </c>
      <c r="W199" s="3" t="n">
        <f aca="false">1/V199</f>
        <v>1.1541420877148</v>
      </c>
      <c r="X199" s="3" t="n">
        <f aca="false">INDEX(Shelter_Design!$R$2:$R$41,MATCH($B199,Shelter_Design!$A$2:$A$41,0))</f>
        <v>25.4</v>
      </c>
      <c r="Y199" s="3" t="n">
        <f aca="false">INDEX(Shelter_Design!$P$2:$P$41,MATCH($B199,Shelter_Design!$A$2:$A$41,0))</f>
        <v>1</v>
      </c>
      <c r="Z199" s="3" t="n">
        <f aca="false">INDEX(Shelter_Design!$G$2:$G$41,MATCH($B199,Shelter_Design!$A$2:$A$41,0))</f>
        <v>19.8</v>
      </c>
      <c r="AA199" s="3" t="n">
        <f aca="false">INDEX(Shelter_Design!$S$2:$S$41,MATCH($B199,Shelter_Design!$A$2:$A$41,0))</f>
        <v>0.0378787878787879</v>
      </c>
      <c r="AB199" s="3" t="n">
        <f aca="false">INDEX(Shelter_Design!$Y$2:$Y$41,MATCH($B199,Shelter_Design!$A$2:$A$41,0))</f>
        <v>2</v>
      </c>
      <c r="AC199" s="3" t="str">
        <f aca="false">INDEX(Shelter_Design!$Z$2:$Z$41,MATCH($B199,Shelter_Design!$A$2:$A$41,0))</f>
        <v>Light-moderate</v>
      </c>
      <c r="AD199" s="3" t="n">
        <f aca="false">INDEX(Shelter_Design!$AA$2:$AA$41,MATCH($B199,Shelter_Design!$A$2:$A$41,0))</f>
        <v>1</v>
      </c>
      <c r="AE199" s="3" t="s">
        <v>304</v>
      </c>
    </row>
    <row r="200" customFormat="false" ht="15" hidden="false" customHeight="true" outlineLevel="0" collapsed="false">
      <c r="A200" s="3" t="s">
        <v>502</v>
      </c>
      <c r="B200" s="3" t="s">
        <v>291</v>
      </c>
      <c r="C200" s="3" t="s">
        <v>280</v>
      </c>
      <c r="D200" s="3" t="s">
        <v>303</v>
      </c>
      <c r="E200" s="3" t="s">
        <v>20</v>
      </c>
      <c r="F200" s="3" t="s">
        <v>46</v>
      </c>
      <c r="G200" s="3" t="str">
        <f aca="false">E200&amp;"-"&amp;F200</f>
        <v>Leh-September</v>
      </c>
      <c r="H200" s="3" t="n">
        <f aca="false">INDEX(Weather_Data!$K$2:$K$73,MATCH($G200,Weather_Data!$J$2:$J$73,0))</f>
        <v>14</v>
      </c>
      <c r="I200" s="3" t="n">
        <f aca="false">INDEX(Weather_Data!$L$2:$L$73,MATCH($G200,Weather_Data!$J$2:$J$73,0))</f>
        <v>35</v>
      </c>
      <c r="J200" s="3" t="n">
        <f aca="false">INDEX(Weather_Data!$M$2:$M$73,MATCH($G200,Weather_Data!$J$2:$J$73,0))</f>
        <v>3</v>
      </c>
      <c r="K200" s="3" t="n">
        <f aca="false">INDEX(Weather_Data!$P$2:$P$73,MATCH($G200,Weather_Data!$J$2:$J$73,0))</f>
        <v>250</v>
      </c>
      <c r="L200" s="3" t="n">
        <f aca="false">INDEX(Weather_Data!$Q$2:$Q$73,MATCH($G200,Weather_Data!$J$2:$J$73,0))</f>
        <v>8</v>
      </c>
      <c r="M200" s="3" t="str">
        <f aca="false">INDEX(Shelter_Design!$I$2:$I$41,MATCH($B200,Shelter_Design!$A$2:$A$41,0))</f>
        <v>M03+M12</v>
      </c>
      <c r="N200" s="3" t="n">
        <f aca="false">IFERROR(INDEX(Material_Properties!$D$2:$D$21,MATCH(M200,Material_Properties!$A$2:$A$21,0)),1)</f>
        <v>1</v>
      </c>
      <c r="O200" s="3" t="n">
        <f aca="false">INDEX(Shelter_Design!$M$2:$M$41,MATCH($B200,Shelter_Design!$A$2:$A$41,0))</f>
        <v>2</v>
      </c>
      <c r="P200" s="3" t="str">
        <f aca="false">INDEX(Shelter_Design!$L$2:$L$41,MATCH($B200,Shelter_Design!$A$2:$A$41,0))</f>
        <v>M07</v>
      </c>
      <c r="Q200" s="3" t="n">
        <f aca="false">IF(P200="None",0,IFERROR(INDEX(Material_Properties!$D$2:$D$21,MATCH(P200,Material_Properties!$A$2:$A$21,0)),0))</f>
        <v>0.036</v>
      </c>
      <c r="R200" s="3" t="n">
        <f aca="false">INDEX(Shelter_Design!$O$2:$O$41,MATCH($B200,Shelter_Design!$A$2:$A$41,0))</f>
        <v>25</v>
      </c>
      <c r="S200" s="3" t="n">
        <f aca="false">(O200/1000)/N200</f>
        <v>0.002</v>
      </c>
      <c r="T200" s="3" t="n">
        <f aca="false">IF(OR(P200="None",Q200=0),0,(R200/1000)/Q200)</f>
        <v>0.694444444444445</v>
      </c>
      <c r="U200" s="3" t="n">
        <v>0.17</v>
      </c>
      <c r="V200" s="3" t="n">
        <f aca="false">S200+T200+U200</f>
        <v>0.866444444444445</v>
      </c>
      <c r="W200" s="3" t="n">
        <f aca="false">1/V200</f>
        <v>1.1541420877148</v>
      </c>
      <c r="X200" s="3" t="n">
        <f aca="false">INDEX(Shelter_Design!$R$2:$R$41,MATCH($B200,Shelter_Design!$A$2:$A$41,0))</f>
        <v>25.4</v>
      </c>
      <c r="Y200" s="3" t="n">
        <f aca="false">INDEX(Shelter_Design!$P$2:$P$41,MATCH($B200,Shelter_Design!$A$2:$A$41,0))</f>
        <v>1</v>
      </c>
      <c r="Z200" s="3" t="n">
        <f aca="false">INDEX(Shelter_Design!$G$2:$G$41,MATCH($B200,Shelter_Design!$A$2:$A$41,0))</f>
        <v>19.8</v>
      </c>
      <c r="AA200" s="3" t="n">
        <f aca="false">INDEX(Shelter_Design!$S$2:$S$41,MATCH($B200,Shelter_Design!$A$2:$A$41,0))</f>
        <v>0.0378787878787879</v>
      </c>
      <c r="AB200" s="3" t="n">
        <f aca="false">INDEX(Shelter_Design!$Y$2:$Y$41,MATCH($B200,Shelter_Design!$A$2:$A$41,0))</f>
        <v>2</v>
      </c>
      <c r="AC200" s="3" t="str">
        <f aca="false">INDEX(Shelter_Design!$Z$2:$Z$41,MATCH($B200,Shelter_Design!$A$2:$A$41,0))</f>
        <v>Light-moderate</v>
      </c>
      <c r="AD200" s="3" t="n">
        <f aca="false">INDEX(Shelter_Design!$AA$2:$AA$41,MATCH($B200,Shelter_Design!$A$2:$A$41,0))</f>
        <v>1</v>
      </c>
      <c r="AE200" s="3" t="s">
        <v>304</v>
      </c>
    </row>
    <row r="201" customFormat="false" ht="15" hidden="false" customHeight="true" outlineLevel="0" collapsed="false">
      <c r="A201" s="3" t="s">
        <v>503</v>
      </c>
      <c r="B201" s="3" t="s">
        <v>291</v>
      </c>
      <c r="C201" s="3" t="s">
        <v>280</v>
      </c>
      <c r="D201" s="3" t="s">
        <v>303</v>
      </c>
      <c r="E201" s="3" t="s">
        <v>67</v>
      </c>
      <c r="F201" s="3" t="s">
        <v>22</v>
      </c>
      <c r="G201" s="3" t="str">
        <f aca="false">E201&amp;"-"&amp;F201</f>
        <v>Chennai-January</v>
      </c>
      <c r="H201" s="3" t="n">
        <f aca="false">INDEX(Weather_Data!$K$2:$K$73,MATCH($G201,Weather_Data!$J$2:$J$73,0))</f>
        <v>25</v>
      </c>
      <c r="I201" s="3" t="n">
        <f aca="false">INDEX(Weather_Data!$L$2:$L$73,MATCH($G201,Weather_Data!$J$2:$J$73,0))</f>
        <v>72</v>
      </c>
      <c r="J201" s="3" t="n">
        <f aca="false">INDEX(Weather_Data!$M$2:$M$73,MATCH($G201,Weather_Data!$J$2:$J$73,0))</f>
        <v>3</v>
      </c>
      <c r="K201" s="3" t="n">
        <f aca="false">INDEX(Weather_Data!$P$2:$P$73,MATCH($G201,Weather_Data!$J$2:$J$73,0))</f>
        <v>187.5</v>
      </c>
      <c r="L201" s="3" t="n">
        <f aca="false">INDEX(Weather_Data!$Q$2:$Q$73,MATCH($G201,Weather_Data!$J$2:$J$73,0))</f>
        <v>25</v>
      </c>
      <c r="M201" s="3" t="str">
        <f aca="false">INDEX(Shelter_Design!$I$2:$I$41,MATCH($B201,Shelter_Design!$A$2:$A$41,0))</f>
        <v>M03+M12</v>
      </c>
      <c r="N201" s="3" t="n">
        <f aca="false">IFERROR(INDEX(Material_Properties!$D$2:$D$21,MATCH(M201,Material_Properties!$A$2:$A$21,0)),1)</f>
        <v>1</v>
      </c>
      <c r="O201" s="3" t="n">
        <f aca="false">INDEX(Shelter_Design!$M$2:$M$41,MATCH($B201,Shelter_Design!$A$2:$A$41,0))</f>
        <v>2</v>
      </c>
      <c r="P201" s="3" t="str">
        <f aca="false">INDEX(Shelter_Design!$L$2:$L$41,MATCH($B201,Shelter_Design!$A$2:$A$41,0))</f>
        <v>M07</v>
      </c>
      <c r="Q201" s="3" t="n">
        <f aca="false">IF(P201="None",0,IFERROR(INDEX(Material_Properties!$D$2:$D$21,MATCH(P201,Material_Properties!$A$2:$A$21,0)),0))</f>
        <v>0.036</v>
      </c>
      <c r="R201" s="3" t="n">
        <f aca="false">INDEX(Shelter_Design!$O$2:$O$41,MATCH($B201,Shelter_Design!$A$2:$A$41,0))</f>
        <v>25</v>
      </c>
      <c r="S201" s="3" t="n">
        <f aca="false">(O201/1000)/N201</f>
        <v>0.002</v>
      </c>
      <c r="T201" s="3" t="n">
        <f aca="false">IF(OR(P201="None",Q201=0),0,(R201/1000)/Q201)</f>
        <v>0.694444444444445</v>
      </c>
      <c r="U201" s="3" t="n">
        <v>0.17</v>
      </c>
      <c r="V201" s="3" t="n">
        <f aca="false">S201+T201+U201</f>
        <v>0.866444444444445</v>
      </c>
      <c r="W201" s="3" t="n">
        <f aca="false">1/V201</f>
        <v>1.1541420877148</v>
      </c>
      <c r="X201" s="3" t="n">
        <f aca="false">INDEX(Shelter_Design!$R$2:$R$41,MATCH($B201,Shelter_Design!$A$2:$A$41,0))</f>
        <v>25.4</v>
      </c>
      <c r="Y201" s="3" t="n">
        <f aca="false">INDEX(Shelter_Design!$P$2:$P$41,MATCH($B201,Shelter_Design!$A$2:$A$41,0))</f>
        <v>1</v>
      </c>
      <c r="Z201" s="3" t="n">
        <f aca="false">INDEX(Shelter_Design!$G$2:$G$41,MATCH($B201,Shelter_Design!$A$2:$A$41,0))</f>
        <v>19.8</v>
      </c>
      <c r="AA201" s="3" t="n">
        <f aca="false">INDEX(Shelter_Design!$S$2:$S$41,MATCH($B201,Shelter_Design!$A$2:$A$41,0))</f>
        <v>0.0378787878787879</v>
      </c>
      <c r="AB201" s="3" t="n">
        <f aca="false">INDEX(Shelter_Design!$Y$2:$Y$41,MATCH($B201,Shelter_Design!$A$2:$A$41,0))</f>
        <v>2</v>
      </c>
      <c r="AC201" s="3" t="str">
        <f aca="false">INDEX(Shelter_Design!$Z$2:$Z$41,MATCH($B201,Shelter_Design!$A$2:$A$41,0))</f>
        <v>Light-moderate</v>
      </c>
      <c r="AD201" s="3" t="n">
        <f aca="false">INDEX(Shelter_Design!$AA$2:$AA$41,MATCH($B201,Shelter_Design!$A$2:$A$41,0))</f>
        <v>1</v>
      </c>
      <c r="AE201" s="3" t="s">
        <v>304</v>
      </c>
    </row>
    <row r="202" customFormat="false" ht="15" hidden="false" customHeight="true" outlineLevel="0" collapsed="false">
      <c r="A202" s="3" t="s">
        <v>504</v>
      </c>
      <c r="B202" s="3" t="s">
        <v>291</v>
      </c>
      <c r="C202" s="3" t="s">
        <v>280</v>
      </c>
      <c r="D202" s="3" t="s">
        <v>303</v>
      </c>
      <c r="E202" s="3" t="s">
        <v>67</v>
      </c>
      <c r="F202" s="3" t="s">
        <v>39</v>
      </c>
      <c r="G202" s="3" t="str">
        <f aca="false">E202&amp;"-"&amp;F202</f>
        <v>Chennai-June</v>
      </c>
      <c r="H202" s="3" t="n">
        <f aca="false">INDEX(Weather_Data!$K$2:$K$73,MATCH($G202,Weather_Data!$J$2:$J$73,0))</f>
        <v>33</v>
      </c>
      <c r="I202" s="3" t="n">
        <f aca="false">INDEX(Weather_Data!$L$2:$L$73,MATCH($G202,Weather_Data!$J$2:$J$73,0))</f>
        <v>60</v>
      </c>
      <c r="J202" s="3" t="n">
        <f aca="false">INDEX(Weather_Data!$M$2:$M$73,MATCH($G202,Weather_Data!$J$2:$J$73,0))</f>
        <v>4</v>
      </c>
      <c r="K202" s="3" t="n">
        <f aca="false">INDEX(Weather_Data!$P$2:$P$73,MATCH($G202,Weather_Data!$J$2:$J$73,0))</f>
        <v>229.166666666667</v>
      </c>
      <c r="L202" s="3" t="n">
        <f aca="false">INDEX(Weather_Data!$Q$2:$Q$73,MATCH($G202,Weather_Data!$J$2:$J$73,0))</f>
        <v>50</v>
      </c>
      <c r="M202" s="3" t="str">
        <f aca="false">INDEX(Shelter_Design!$I$2:$I$41,MATCH($B202,Shelter_Design!$A$2:$A$41,0))</f>
        <v>M03+M12</v>
      </c>
      <c r="N202" s="3" t="n">
        <f aca="false">IFERROR(INDEX(Material_Properties!$D$2:$D$21,MATCH(M202,Material_Properties!$A$2:$A$21,0)),1)</f>
        <v>1</v>
      </c>
      <c r="O202" s="3" t="n">
        <f aca="false">INDEX(Shelter_Design!$M$2:$M$41,MATCH($B202,Shelter_Design!$A$2:$A$41,0))</f>
        <v>2</v>
      </c>
      <c r="P202" s="3" t="str">
        <f aca="false">INDEX(Shelter_Design!$L$2:$L$41,MATCH($B202,Shelter_Design!$A$2:$A$41,0))</f>
        <v>M07</v>
      </c>
      <c r="Q202" s="3" t="n">
        <f aca="false">IF(P202="None",0,IFERROR(INDEX(Material_Properties!$D$2:$D$21,MATCH(P202,Material_Properties!$A$2:$A$21,0)),0))</f>
        <v>0.036</v>
      </c>
      <c r="R202" s="3" t="n">
        <f aca="false">INDEX(Shelter_Design!$O$2:$O$41,MATCH($B202,Shelter_Design!$A$2:$A$41,0))</f>
        <v>25</v>
      </c>
      <c r="S202" s="3" t="n">
        <f aca="false">(O202/1000)/N202</f>
        <v>0.002</v>
      </c>
      <c r="T202" s="3" t="n">
        <f aca="false">IF(OR(P202="None",Q202=0),0,(R202/1000)/Q202)</f>
        <v>0.694444444444445</v>
      </c>
      <c r="U202" s="3" t="n">
        <v>0.17</v>
      </c>
      <c r="V202" s="3" t="n">
        <f aca="false">S202+T202+U202</f>
        <v>0.866444444444445</v>
      </c>
      <c r="W202" s="3" t="n">
        <f aca="false">1/V202</f>
        <v>1.1541420877148</v>
      </c>
      <c r="X202" s="3" t="n">
        <f aca="false">INDEX(Shelter_Design!$R$2:$R$41,MATCH($B202,Shelter_Design!$A$2:$A$41,0))</f>
        <v>25.4</v>
      </c>
      <c r="Y202" s="3" t="n">
        <f aca="false">INDEX(Shelter_Design!$P$2:$P$41,MATCH($B202,Shelter_Design!$A$2:$A$41,0))</f>
        <v>1</v>
      </c>
      <c r="Z202" s="3" t="n">
        <f aca="false">INDEX(Shelter_Design!$G$2:$G$41,MATCH($B202,Shelter_Design!$A$2:$A$41,0))</f>
        <v>19.8</v>
      </c>
      <c r="AA202" s="3" t="n">
        <f aca="false">INDEX(Shelter_Design!$S$2:$S$41,MATCH($B202,Shelter_Design!$A$2:$A$41,0))</f>
        <v>0.0378787878787879</v>
      </c>
      <c r="AB202" s="3" t="n">
        <f aca="false">INDEX(Shelter_Design!$Y$2:$Y$41,MATCH($B202,Shelter_Design!$A$2:$A$41,0))</f>
        <v>2</v>
      </c>
      <c r="AC202" s="3" t="str">
        <f aca="false">INDEX(Shelter_Design!$Z$2:$Z$41,MATCH($B202,Shelter_Design!$A$2:$A$41,0))</f>
        <v>Light-moderate</v>
      </c>
      <c r="AD202" s="3" t="n">
        <f aca="false">INDEX(Shelter_Design!$AA$2:$AA$41,MATCH($B202,Shelter_Design!$A$2:$A$41,0))</f>
        <v>1</v>
      </c>
      <c r="AE202" s="3" t="s">
        <v>304</v>
      </c>
    </row>
    <row r="203" customFormat="false" ht="15" hidden="false" customHeight="true" outlineLevel="0" collapsed="false">
      <c r="A203" s="3" t="s">
        <v>505</v>
      </c>
      <c r="B203" s="3" t="s">
        <v>291</v>
      </c>
      <c r="C203" s="3" t="s">
        <v>280</v>
      </c>
      <c r="D203" s="3" t="s">
        <v>303</v>
      </c>
      <c r="E203" s="3" t="s">
        <v>67</v>
      </c>
      <c r="F203" s="3" t="s">
        <v>46</v>
      </c>
      <c r="G203" s="3" t="str">
        <f aca="false">E203&amp;"-"&amp;F203</f>
        <v>Chennai-September</v>
      </c>
      <c r="H203" s="3" t="n">
        <f aca="false">INDEX(Weather_Data!$K$2:$K$73,MATCH($G203,Weather_Data!$J$2:$J$73,0))</f>
        <v>30</v>
      </c>
      <c r="I203" s="3" t="n">
        <f aca="false">INDEX(Weather_Data!$L$2:$L$73,MATCH($G203,Weather_Data!$J$2:$J$73,0))</f>
        <v>72</v>
      </c>
      <c r="J203" s="3" t="n">
        <f aca="false">INDEX(Weather_Data!$M$2:$M$73,MATCH($G203,Weather_Data!$J$2:$J$73,0))</f>
        <v>3.5</v>
      </c>
      <c r="K203" s="3" t="n">
        <f aca="false">INDEX(Weather_Data!$P$2:$P$73,MATCH($G203,Weather_Data!$J$2:$J$73,0))</f>
        <v>216.666666666667</v>
      </c>
      <c r="L203" s="3" t="n">
        <f aca="false">INDEX(Weather_Data!$Q$2:$Q$73,MATCH($G203,Weather_Data!$J$2:$J$73,0))</f>
        <v>120</v>
      </c>
      <c r="M203" s="3" t="str">
        <f aca="false">INDEX(Shelter_Design!$I$2:$I$41,MATCH($B203,Shelter_Design!$A$2:$A$41,0))</f>
        <v>M03+M12</v>
      </c>
      <c r="N203" s="3" t="n">
        <f aca="false">IFERROR(INDEX(Material_Properties!$D$2:$D$21,MATCH(M203,Material_Properties!$A$2:$A$21,0)),1)</f>
        <v>1</v>
      </c>
      <c r="O203" s="3" t="n">
        <f aca="false">INDEX(Shelter_Design!$M$2:$M$41,MATCH($B203,Shelter_Design!$A$2:$A$41,0))</f>
        <v>2</v>
      </c>
      <c r="P203" s="3" t="str">
        <f aca="false">INDEX(Shelter_Design!$L$2:$L$41,MATCH($B203,Shelter_Design!$A$2:$A$41,0))</f>
        <v>M07</v>
      </c>
      <c r="Q203" s="3" t="n">
        <f aca="false">IF(P203="None",0,IFERROR(INDEX(Material_Properties!$D$2:$D$21,MATCH(P203,Material_Properties!$A$2:$A$21,0)),0))</f>
        <v>0.036</v>
      </c>
      <c r="R203" s="3" t="n">
        <f aca="false">INDEX(Shelter_Design!$O$2:$O$41,MATCH($B203,Shelter_Design!$A$2:$A$41,0))</f>
        <v>25</v>
      </c>
      <c r="S203" s="3" t="n">
        <f aca="false">(O203/1000)/N203</f>
        <v>0.002</v>
      </c>
      <c r="T203" s="3" t="n">
        <f aca="false">IF(OR(P203="None",Q203=0),0,(R203/1000)/Q203)</f>
        <v>0.694444444444445</v>
      </c>
      <c r="U203" s="3" t="n">
        <v>0.17</v>
      </c>
      <c r="V203" s="3" t="n">
        <f aca="false">S203+T203+U203</f>
        <v>0.866444444444445</v>
      </c>
      <c r="W203" s="3" t="n">
        <f aca="false">1/V203</f>
        <v>1.1541420877148</v>
      </c>
      <c r="X203" s="3" t="n">
        <f aca="false">INDEX(Shelter_Design!$R$2:$R$41,MATCH($B203,Shelter_Design!$A$2:$A$41,0))</f>
        <v>25.4</v>
      </c>
      <c r="Y203" s="3" t="n">
        <f aca="false">INDEX(Shelter_Design!$P$2:$P$41,MATCH($B203,Shelter_Design!$A$2:$A$41,0))</f>
        <v>1</v>
      </c>
      <c r="Z203" s="3" t="n">
        <f aca="false">INDEX(Shelter_Design!$G$2:$G$41,MATCH($B203,Shelter_Design!$A$2:$A$41,0))</f>
        <v>19.8</v>
      </c>
      <c r="AA203" s="3" t="n">
        <f aca="false">INDEX(Shelter_Design!$S$2:$S$41,MATCH($B203,Shelter_Design!$A$2:$A$41,0))</f>
        <v>0.0378787878787879</v>
      </c>
      <c r="AB203" s="3" t="n">
        <f aca="false">INDEX(Shelter_Design!$Y$2:$Y$41,MATCH($B203,Shelter_Design!$A$2:$A$41,0))</f>
        <v>2</v>
      </c>
      <c r="AC203" s="3" t="str">
        <f aca="false">INDEX(Shelter_Design!$Z$2:$Z$41,MATCH($B203,Shelter_Design!$A$2:$A$41,0))</f>
        <v>Light-moderate</v>
      </c>
      <c r="AD203" s="3" t="n">
        <f aca="false">INDEX(Shelter_Design!$AA$2:$AA$41,MATCH($B203,Shelter_Design!$A$2:$A$41,0))</f>
        <v>1</v>
      </c>
      <c r="AE203" s="3" t="s">
        <v>304</v>
      </c>
    </row>
    <row r="204" customFormat="false" ht="15" hidden="false" customHeight="true" outlineLevel="0" collapsed="false">
      <c r="A204" s="3" t="s">
        <v>506</v>
      </c>
      <c r="B204" s="3" t="s">
        <v>292</v>
      </c>
      <c r="C204" s="3" t="s">
        <v>280</v>
      </c>
      <c r="D204" s="3" t="s">
        <v>303</v>
      </c>
      <c r="E204" s="3" t="s">
        <v>20</v>
      </c>
      <c r="F204" s="3" t="s">
        <v>22</v>
      </c>
      <c r="G204" s="3" t="str">
        <f aca="false">E204&amp;"-"&amp;F204</f>
        <v>Leh-January</v>
      </c>
      <c r="H204" s="3" t="n">
        <f aca="false">INDEX(Weather_Data!$K$2:$K$73,MATCH($G204,Weather_Data!$J$2:$J$73,0))</f>
        <v>-8</v>
      </c>
      <c r="I204" s="3" t="n">
        <f aca="false">INDEX(Weather_Data!$L$2:$L$73,MATCH($G204,Weather_Data!$J$2:$J$73,0))</f>
        <v>25</v>
      </c>
      <c r="J204" s="3" t="n">
        <f aca="false">INDEX(Weather_Data!$M$2:$M$73,MATCH($G204,Weather_Data!$J$2:$J$73,0))</f>
        <v>2</v>
      </c>
      <c r="K204" s="3" t="n">
        <f aca="false">INDEX(Weather_Data!$P$2:$P$73,MATCH($G204,Weather_Data!$J$2:$J$73,0))</f>
        <v>166.666666666667</v>
      </c>
      <c r="L204" s="3" t="n">
        <f aca="false">INDEX(Weather_Data!$Q$2:$Q$73,MATCH($G204,Weather_Data!$J$2:$J$73,0))</f>
        <v>5</v>
      </c>
      <c r="M204" s="3" t="str">
        <f aca="false">INDEX(Shelter_Design!$I$2:$I$41,MATCH($B204,Shelter_Design!$A$2:$A$41,0))</f>
        <v>M03+M12</v>
      </c>
      <c r="N204" s="3" t="n">
        <f aca="false">IFERROR(INDEX(Material_Properties!$D$2:$D$21,MATCH(M204,Material_Properties!$A$2:$A$21,0)),1)</f>
        <v>1</v>
      </c>
      <c r="O204" s="3" t="n">
        <f aca="false">INDEX(Shelter_Design!$M$2:$M$41,MATCH($B204,Shelter_Design!$A$2:$A$41,0))</f>
        <v>2</v>
      </c>
      <c r="P204" s="3" t="str">
        <f aca="false">INDEX(Shelter_Design!$L$2:$L$41,MATCH($B204,Shelter_Design!$A$2:$A$41,0))</f>
        <v>M07</v>
      </c>
      <c r="Q204" s="3" t="n">
        <f aca="false">IF(P204="None",0,IFERROR(INDEX(Material_Properties!$D$2:$D$21,MATCH(P204,Material_Properties!$A$2:$A$21,0)),0))</f>
        <v>0.036</v>
      </c>
      <c r="R204" s="3" t="n">
        <f aca="false">INDEX(Shelter_Design!$O$2:$O$41,MATCH($B204,Shelter_Design!$A$2:$A$41,0))</f>
        <v>25</v>
      </c>
      <c r="S204" s="3" t="n">
        <f aca="false">(O204/1000)/N204</f>
        <v>0.002</v>
      </c>
      <c r="T204" s="3" t="n">
        <f aca="false">IF(OR(P204="None",Q204=0),0,(R204/1000)/Q204)</f>
        <v>0.694444444444445</v>
      </c>
      <c r="U204" s="3" t="n">
        <v>0.17</v>
      </c>
      <c r="V204" s="3" t="n">
        <f aca="false">S204+T204+U204</f>
        <v>0.866444444444445</v>
      </c>
      <c r="W204" s="3" t="n">
        <f aca="false">1/V204</f>
        <v>1.1541420877148</v>
      </c>
      <c r="X204" s="3" t="n">
        <f aca="false">INDEX(Shelter_Design!$R$2:$R$41,MATCH($B204,Shelter_Design!$A$2:$A$41,0))</f>
        <v>31.2</v>
      </c>
      <c r="Y204" s="3" t="n">
        <f aca="false">INDEX(Shelter_Design!$P$2:$P$41,MATCH($B204,Shelter_Design!$A$2:$A$41,0))</f>
        <v>1</v>
      </c>
      <c r="Z204" s="3" t="n">
        <f aca="false">INDEX(Shelter_Design!$G$2:$G$41,MATCH($B204,Shelter_Design!$A$2:$A$41,0))</f>
        <v>27.6</v>
      </c>
      <c r="AA204" s="3" t="n">
        <f aca="false">INDEX(Shelter_Design!$S$2:$S$41,MATCH($B204,Shelter_Design!$A$2:$A$41,0))</f>
        <v>0.031055900621118</v>
      </c>
      <c r="AB204" s="3" t="n">
        <f aca="false">INDEX(Shelter_Design!$Y$2:$Y$41,MATCH($B204,Shelter_Design!$A$2:$A$41,0))</f>
        <v>4</v>
      </c>
      <c r="AC204" s="3" t="str">
        <f aca="false">INDEX(Shelter_Design!$Z$2:$Z$41,MATCH($B204,Shelter_Design!$A$2:$A$41,0))</f>
        <v>Light-moderate</v>
      </c>
      <c r="AD204" s="3" t="n">
        <f aca="false">INDEX(Shelter_Design!$AA$2:$AA$41,MATCH($B204,Shelter_Design!$A$2:$A$41,0))</f>
        <v>1</v>
      </c>
      <c r="AE204" s="3" t="s">
        <v>304</v>
      </c>
    </row>
    <row r="205" customFormat="false" ht="15" hidden="false" customHeight="true" outlineLevel="0" collapsed="false">
      <c r="A205" s="3" t="s">
        <v>507</v>
      </c>
      <c r="B205" s="3" t="s">
        <v>292</v>
      </c>
      <c r="C205" s="3" t="s">
        <v>280</v>
      </c>
      <c r="D205" s="3" t="s">
        <v>303</v>
      </c>
      <c r="E205" s="3" t="s">
        <v>20</v>
      </c>
      <c r="F205" s="3" t="s">
        <v>39</v>
      </c>
      <c r="G205" s="3" t="str">
        <f aca="false">E205&amp;"-"&amp;F205</f>
        <v>Leh-June</v>
      </c>
      <c r="H205" s="3" t="n">
        <f aca="false">INDEX(Weather_Data!$K$2:$K$73,MATCH($G205,Weather_Data!$J$2:$J$73,0))</f>
        <v>16</v>
      </c>
      <c r="I205" s="3" t="n">
        <f aca="false">INDEX(Weather_Data!$L$2:$L$73,MATCH($G205,Weather_Data!$J$2:$J$73,0))</f>
        <v>35</v>
      </c>
      <c r="J205" s="3" t="n">
        <f aca="false">INDEX(Weather_Data!$M$2:$M$73,MATCH($G205,Weather_Data!$J$2:$J$73,0))</f>
        <v>3.5</v>
      </c>
      <c r="K205" s="3" t="n">
        <f aca="false">INDEX(Weather_Data!$P$2:$P$73,MATCH($G205,Weather_Data!$J$2:$J$73,0))</f>
        <v>300</v>
      </c>
      <c r="L205" s="3" t="n">
        <f aca="false">INDEX(Weather_Data!$Q$2:$Q$73,MATCH($G205,Weather_Data!$J$2:$J$73,0))</f>
        <v>8</v>
      </c>
      <c r="M205" s="3" t="str">
        <f aca="false">INDEX(Shelter_Design!$I$2:$I$41,MATCH($B205,Shelter_Design!$A$2:$A$41,0))</f>
        <v>M03+M12</v>
      </c>
      <c r="N205" s="3" t="n">
        <f aca="false">IFERROR(INDEX(Material_Properties!$D$2:$D$21,MATCH(M205,Material_Properties!$A$2:$A$21,0)),1)</f>
        <v>1</v>
      </c>
      <c r="O205" s="3" t="n">
        <f aca="false">INDEX(Shelter_Design!$M$2:$M$41,MATCH($B205,Shelter_Design!$A$2:$A$41,0))</f>
        <v>2</v>
      </c>
      <c r="P205" s="3" t="str">
        <f aca="false">INDEX(Shelter_Design!$L$2:$L$41,MATCH($B205,Shelter_Design!$A$2:$A$41,0))</f>
        <v>M07</v>
      </c>
      <c r="Q205" s="3" t="n">
        <f aca="false">IF(P205="None",0,IFERROR(INDEX(Material_Properties!$D$2:$D$21,MATCH(P205,Material_Properties!$A$2:$A$21,0)),0))</f>
        <v>0.036</v>
      </c>
      <c r="R205" s="3" t="n">
        <f aca="false">INDEX(Shelter_Design!$O$2:$O$41,MATCH($B205,Shelter_Design!$A$2:$A$41,0))</f>
        <v>25</v>
      </c>
      <c r="S205" s="3" t="n">
        <f aca="false">(O205/1000)/N205</f>
        <v>0.002</v>
      </c>
      <c r="T205" s="3" t="n">
        <f aca="false">IF(OR(P205="None",Q205=0),0,(R205/1000)/Q205)</f>
        <v>0.694444444444445</v>
      </c>
      <c r="U205" s="3" t="n">
        <v>0.17</v>
      </c>
      <c r="V205" s="3" t="n">
        <f aca="false">S205+T205+U205</f>
        <v>0.866444444444445</v>
      </c>
      <c r="W205" s="3" t="n">
        <f aca="false">1/V205</f>
        <v>1.1541420877148</v>
      </c>
      <c r="X205" s="3" t="n">
        <f aca="false">INDEX(Shelter_Design!$R$2:$R$41,MATCH($B205,Shelter_Design!$A$2:$A$41,0))</f>
        <v>31.2</v>
      </c>
      <c r="Y205" s="3" t="n">
        <f aca="false">INDEX(Shelter_Design!$P$2:$P$41,MATCH($B205,Shelter_Design!$A$2:$A$41,0))</f>
        <v>1</v>
      </c>
      <c r="Z205" s="3" t="n">
        <f aca="false">INDEX(Shelter_Design!$G$2:$G$41,MATCH($B205,Shelter_Design!$A$2:$A$41,0))</f>
        <v>27.6</v>
      </c>
      <c r="AA205" s="3" t="n">
        <f aca="false">INDEX(Shelter_Design!$S$2:$S$41,MATCH($B205,Shelter_Design!$A$2:$A$41,0))</f>
        <v>0.031055900621118</v>
      </c>
      <c r="AB205" s="3" t="n">
        <f aca="false">INDEX(Shelter_Design!$Y$2:$Y$41,MATCH($B205,Shelter_Design!$A$2:$A$41,0))</f>
        <v>4</v>
      </c>
      <c r="AC205" s="3" t="str">
        <f aca="false">INDEX(Shelter_Design!$Z$2:$Z$41,MATCH($B205,Shelter_Design!$A$2:$A$41,0))</f>
        <v>Light-moderate</v>
      </c>
      <c r="AD205" s="3" t="n">
        <f aca="false">INDEX(Shelter_Design!$AA$2:$AA$41,MATCH($B205,Shelter_Design!$A$2:$A$41,0))</f>
        <v>1</v>
      </c>
      <c r="AE205" s="3" t="s">
        <v>304</v>
      </c>
    </row>
    <row r="206" customFormat="false" ht="15" hidden="false" customHeight="true" outlineLevel="0" collapsed="false">
      <c r="A206" s="3" t="s">
        <v>508</v>
      </c>
      <c r="B206" s="3" t="s">
        <v>292</v>
      </c>
      <c r="C206" s="3" t="s">
        <v>280</v>
      </c>
      <c r="D206" s="3" t="s">
        <v>303</v>
      </c>
      <c r="E206" s="3" t="s">
        <v>20</v>
      </c>
      <c r="F206" s="3" t="s">
        <v>46</v>
      </c>
      <c r="G206" s="3" t="str">
        <f aca="false">E206&amp;"-"&amp;F206</f>
        <v>Leh-September</v>
      </c>
      <c r="H206" s="3" t="n">
        <f aca="false">INDEX(Weather_Data!$K$2:$K$73,MATCH($G206,Weather_Data!$J$2:$J$73,0))</f>
        <v>14</v>
      </c>
      <c r="I206" s="3" t="n">
        <f aca="false">INDEX(Weather_Data!$L$2:$L$73,MATCH($G206,Weather_Data!$J$2:$J$73,0))</f>
        <v>35</v>
      </c>
      <c r="J206" s="3" t="n">
        <f aca="false">INDEX(Weather_Data!$M$2:$M$73,MATCH($G206,Weather_Data!$J$2:$J$73,0))</f>
        <v>3</v>
      </c>
      <c r="K206" s="3" t="n">
        <f aca="false">INDEX(Weather_Data!$P$2:$P$73,MATCH($G206,Weather_Data!$J$2:$J$73,0))</f>
        <v>250</v>
      </c>
      <c r="L206" s="3" t="n">
        <f aca="false">INDEX(Weather_Data!$Q$2:$Q$73,MATCH($G206,Weather_Data!$J$2:$J$73,0))</f>
        <v>8</v>
      </c>
      <c r="M206" s="3" t="str">
        <f aca="false">INDEX(Shelter_Design!$I$2:$I$41,MATCH($B206,Shelter_Design!$A$2:$A$41,0))</f>
        <v>M03+M12</v>
      </c>
      <c r="N206" s="3" t="n">
        <f aca="false">IFERROR(INDEX(Material_Properties!$D$2:$D$21,MATCH(M206,Material_Properties!$A$2:$A$21,0)),1)</f>
        <v>1</v>
      </c>
      <c r="O206" s="3" t="n">
        <f aca="false">INDEX(Shelter_Design!$M$2:$M$41,MATCH($B206,Shelter_Design!$A$2:$A$41,0))</f>
        <v>2</v>
      </c>
      <c r="P206" s="3" t="str">
        <f aca="false">INDEX(Shelter_Design!$L$2:$L$41,MATCH($B206,Shelter_Design!$A$2:$A$41,0))</f>
        <v>M07</v>
      </c>
      <c r="Q206" s="3" t="n">
        <f aca="false">IF(P206="None",0,IFERROR(INDEX(Material_Properties!$D$2:$D$21,MATCH(P206,Material_Properties!$A$2:$A$21,0)),0))</f>
        <v>0.036</v>
      </c>
      <c r="R206" s="3" t="n">
        <f aca="false">INDEX(Shelter_Design!$O$2:$O$41,MATCH($B206,Shelter_Design!$A$2:$A$41,0))</f>
        <v>25</v>
      </c>
      <c r="S206" s="3" t="n">
        <f aca="false">(O206/1000)/N206</f>
        <v>0.002</v>
      </c>
      <c r="T206" s="3" t="n">
        <f aca="false">IF(OR(P206="None",Q206=0),0,(R206/1000)/Q206)</f>
        <v>0.694444444444445</v>
      </c>
      <c r="U206" s="3" t="n">
        <v>0.17</v>
      </c>
      <c r="V206" s="3" t="n">
        <f aca="false">S206+T206+U206</f>
        <v>0.866444444444445</v>
      </c>
      <c r="W206" s="3" t="n">
        <f aca="false">1/V206</f>
        <v>1.1541420877148</v>
      </c>
      <c r="X206" s="3" t="n">
        <f aca="false">INDEX(Shelter_Design!$R$2:$R$41,MATCH($B206,Shelter_Design!$A$2:$A$41,0))</f>
        <v>31.2</v>
      </c>
      <c r="Y206" s="3" t="n">
        <f aca="false">INDEX(Shelter_Design!$P$2:$P$41,MATCH($B206,Shelter_Design!$A$2:$A$41,0))</f>
        <v>1</v>
      </c>
      <c r="Z206" s="3" t="n">
        <f aca="false">INDEX(Shelter_Design!$G$2:$G$41,MATCH($B206,Shelter_Design!$A$2:$A$41,0))</f>
        <v>27.6</v>
      </c>
      <c r="AA206" s="3" t="n">
        <f aca="false">INDEX(Shelter_Design!$S$2:$S$41,MATCH($B206,Shelter_Design!$A$2:$A$41,0))</f>
        <v>0.031055900621118</v>
      </c>
      <c r="AB206" s="3" t="n">
        <f aca="false">INDEX(Shelter_Design!$Y$2:$Y$41,MATCH($B206,Shelter_Design!$A$2:$A$41,0))</f>
        <v>4</v>
      </c>
      <c r="AC206" s="3" t="str">
        <f aca="false">INDEX(Shelter_Design!$Z$2:$Z$41,MATCH($B206,Shelter_Design!$A$2:$A$41,0))</f>
        <v>Light-moderate</v>
      </c>
      <c r="AD206" s="3" t="n">
        <f aca="false">INDEX(Shelter_Design!$AA$2:$AA$41,MATCH($B206,Shelter_Design!$A$2:$A$41,0))</f>
        <v>1</v>
      </c>
      <c r="AE206" s="3" t="s">
        <v>304</v>
      </c>
    </row>
    <row r="207" customFormat="false" ht="15" hidden="false" customHeight="true" outlineLevel="0" collapsed="false">
      <c r="A207" s="3" t="s">
        <v>509</v>
      </c>
      <c r="B207" s="3" t="s">
        <v>292</v>
      </c>
      <c r="C207" s="3" t="s">
        <v>280</v>
      </c>
      <c r="D207" s="3" t="s">
        <v>303</v>
      </c>
      <c r="E207" s="3" t="s">
        <v>67</v>
      </c>
      <c r="F207" s="3" t="s">
        <v>22</v>
      </c>
      <c r="G207" s="3" t="str">
        <f aca="false">E207&amp;"-"&amp;F207</f>
        <v>Chennai-January</v>
      </c>
      <c r="H207" s="3" t="n">
        <f aca="false">INDEX(Weather_Data!$K$2:$K$73,MATCH($G207,Weather_Data!$J$2:$J$73,0))</f>
        <v>25</v>
      </c>
      <c r="I207" s="3" t="n">
        <f aca="false">INDEX(Weather_Data!$L$2:$L$73,MATCH($G207,Weather_Data!$J$2:$J$73,0))</f>
        <v>72</v>
      </c>
      <c r="J207" s="3" t="n">
        <f aca="false">INDEX(Weather_Data!$M$2:$M$73,MATCH($G207,Weather_Data!$J$2:$J$73,0))</f>
        <v>3</v>
      </c>
      <c r="K207" s="3" t="n">
        <f aca="false">INDEX(Weather_Data!$P$2:$P$73,MATCH($G207,Weather_Data!$J$2:$J$73,0))</f>
        <v>187.5</v>
      </c>
      <c r="L207" s="3" t="n">
        <f aca="false">INDEX(Weather_Data!$Q$2:$Q$73,MATCH($G207,Weather_Data!$J$2:$J$73,0))</f>
        <v>25</v>
      </c>
      <c r="M207" s="3" t="str">
        <f aca="false">INDEX(Shelter_Design!$I$2:$I$41,MATCH($B207,Shelter_Design!$A$2:$A$41,0))</f>
        <v>M03+M12</v>
      </c>
      <c r="N207" s="3" t="n">
        <f aca="false">IFERROR(INDEX(Material_Properties!$D$2:$D$21,MATCH(M207,Material_Properties!$A$2:$A$21,0)),1)</f>
        <v>1</v>
      </c>
      <c r="O207" s="3" t="n">
        <f aca="false">INDEX(Shelter_Design!$M$2:$M$41,MATCH($B207,Shelter_Design!$A$2:$A$41,0))</f>
        <v>2</v>
      </c>
      <c r="P207" s="3" t="str">
        <f aca="false">INDEX(Shelter_Design!$L$2:$L$41,MATCH($B207,Shelter_Design!$A$2:$A$41,0))</f>
        <v>M07</v>
      </c>
      <c r="Q207" s="3" t="n">
        <f aca="false">IF(P207="None",0,IFERROR(INDEX(Material_Properties!$D$2:$D$21,MATCH(P207,Material_Properties!$A$2:$A$21,0)),0))</f>
        <v>0.036</v>
      </c>
      <c r="R207" s="3" t="n">
        <f aca="false">INDEX(Shelter_Design!$O$2:$O$41,MATCH($B207,Shelter_Design!$A$2:$A$41,0))</f>
        <v>25</v>
      </c>
      <c r="S207" s="3" t="n">
        <f aca="false">(O207/1000)/N207</f>
        <v>0.002</v>
      </c>
      <c r="T207" s="3" t="n">
        <f aca="false">IF(OR(P207="None",Q207=0),0,(R207/1000)/Q207)</f>
        <v>0.694444444444445</v>
      </c>
      <c r="U207" s="3" t="n">
        <v>0.17</v>
      </c>
      <c r="V207" s="3" t="n">
        <f aca="false">S207+T207+U207</f>
        <v>0.866444444444445</v>
      </c>
      <c r="W207" s="3" t="n">
        <f aca="false">1/V207</f>
        <v>1.1541420877148</v>
      </c>
      <c r="X207" s="3" t="n">
        <f aca="false">INDEX(Shelter_Design!$R$2:$R$41,MATCH($B207,Shelter_Design!$A$2:$A$41,0))</f>
        <v>31.2</v>
      </c>
      <c r="Y207" s="3" t="n">
        <f aca="false">INDEX(Shelter_Design!$P$2:$P$41,MATCH($B207,Shelter_Design!$A$2:$A$41,0))</f>
        <v>1</v>
      </c>
      <c r="Z207" s="3" t="n">
        <f aca="false">INDEX(Shelter_Design!$G$2:$G$41,MATCH($B207,Shelter_Design!$A$2:$A$41,0))</f>
        <v>27.6</v>
      </c>
      <c r="AA207" s="3" t="n">
        <f aca="false">INDEX(Shelter_Design!$S$2:$S$41,MATCH($B207,Shelter_Design!$A$2:$A$41,0))</f>
        <v>0.031055900621118</v>
      </c>
      <c r="AB207" s="3" t="n">
        <f aca="false">INDEX(Shelter_Design!$Y$2:$Y$41,MATCH($B207,Shelter_Design!$A$2:$A$41,0))</f>
        <v>4</v>
      </c>
      <c r="AC207" s="3" t="str">
        <f aca="false">INDEX(Shelter_Design!$Z$2:$Z$41,MATCH($B207,Shelter_Design!$A$2:$A$41,0))</f>
        <v>Light-moderate</v>
      </c>
      <c r="AD207" s="3" t="n">
        <f aca="false">INDEX(Shelter_Design!$AA$2:$AA$41,MATCH($B207,Shelter_Design!$A$2:$A$41,0))</f>
        <v>1</v>
      </c>
      <c r="AE207" s="3" t="s">
        <v>304</v>
      </c>
    </row>
    <row r="208" customFormat="false" ht="15" hidden="false" customHeight="true" outlineLevel="0" collapsed="false">
      <c r="A208" s="3" t="s">
        <v>510</v>
      </c>
      <c r="B208" s="3" t="s">
        <v>292</v>
      </c>
      <c r="C208" s="3" t="s">
        <v>280</v>
      </c>
      <c r="D208" s="3" t="s">
        <v>303</v>
      </c>
      <c r="E208" s="3" t="s">
        <v>67</v>
      </c>
      <c r="F208" s="3" t="s">
        <v>39</v>
      </c>
      <c r="G208" s="3" t="str">
        <f aca="false">E208&amp;"-"&amp;F208</f>
        <v>Chennai-June</v>
      </c>
      <c r="H208" s="3" t="n">
        <f aca="false">INDEX(Weather_Data!$K$2:$K$73,MATCH($G208,Weather_Data!$J$2:$J$73,0))</f>
        <v>33</v>
      </c>
      <c r="I208" s="3" t="n">
        <f aca="false">INDEX(Weather_Data!$L$2:$L$73,MATCH($G208,Weather_Data!$J$2:$J$73,0))</f>
        <v>60</v>
      </c>
      <c r="J208" s="3" t="n">
        <f aca="false">INDEX(Weather_Data!$M$2:$M$73,MATCH($G208,Weather_Data!$J$2:$J$73,0))</f>
        <v>4</v>
      </c>
      <c r="K208" s="3" t="n">
        <f aca="false">INDEX(Weather_Data!$P$2:$P$73,MATCH($G208,Weather_Data!$J$2:$J$73,0))</f>
        <v>229.166666666667</v>
      </c>
      <c r="L208" s="3" t="n">
        <f aca="false">INDEX(Weather_Data!$Q$2:$Q$73,MATCH($G208,Weather_Data!$J$2:$J$73,0))</f>
        <v>50</v>
      </c>
      <c r="M208" s="3" t="str">
        <f aca="false">INDEX(Shelter_Design!$I$2:$I$41,MATCH($B208,Shelter_Design!$A$2:$A$41,0))</f>
        <v>M03+M12</v>
      </c>
      <c r="N208" s="3" t="n">
        <f aca="false">IFERROR(INDEX(Material_Properties!$D$2:$D$21,MATCH(M208,Material_Properties!$A$2:$A$21,0)),1)</f>
        <v>1</v>
      </c>
      <c r="O208" s="3" t="n">
        <f aca="false">INDEX(Shelter_Design!$M$2:$M$41,MATCH($B208,Shelter_Design!$A$2:$A$41,0))</f>
        <v>2</v>
      </c>
      <c r="P208" s="3" t="str">
        <f aca="false">INDEX(Shelter_Design!$L$2:$L$41,MATCH($B208,Shelter_Design!$A$2:$A$41,0))</f>
        <v>M07</v>
      </c>
      <c r="Q208" s="3" t="n">
        <f aca="false">IF(P208="None",0,IFERROR(INDEX(Material_Properties!$D$2:$D$21,MATCH(P208,Material_Properties!$A$2:$A$21,0)),0))</f>
        <v>0.036</v>
      </c>
      <c r="R208" s="3" t="n">
        <f aca="false">INDEX(Shelter_Design!$O$2:$O$41,MATCH($B208,Shelter_Design!$A$2:$A$41,0))</f>
        <v>25</v>
      </c>
      <c r="S208" s="3" t="n">
        <f aca="false">(O208/1000)/N208</f>
        <v>0.002</v>
      </c>
      <c r="T208" s="3" t="n">
        <f aca="false">IF(OR(P208="None",Q208=0),0,(R208/1000)/Q208)</f>
        <v>0.694444444444445</v>
      </c>
      <c r="U208" s="3" t="n">
        <v>0.17</v>
      </c>
      <c r="V208" s="3" t="n">
        <f aca="false">S208+T208+U208</f>
        <v>0.866444444444445</v>
      </c>
      <c r="W208" s="3" t="n">
        <f aca="false">1/V208</f>
        <v>1.1541420877148</v>
      </c>
      <c r="X208" s="3" t="n">
        <f aca="false">INDEX(Shelter_Design!$R$2:$R$41,MATCH($B208,Shelter_Design!$A$2:$A$41,0))</f>
        <v>31.2</v>
      </c>
      <c r="Y208" s="3" t="n">
        <f aca="false">INDEX(Shelter_Design!$P$2:$P$41,MATCH($B208,Shelter_Design!$A$2:$A$41,0))</f>
        <v>1</v>
      </c>
      <c r="Z208" s="3" t="n">
        <f aca="false">INDEX(Shelter_Design!$G$2:$G$41,MATCH($B208,Shelter_Design!$A$2:$A$41,0))</f>
        <v>27.6</v>
      </c>
      <c r="AA208" s="3" t="n">
        <f aca="false">INDEX(Shelter_Design!$S$2:$S$41,MATCH($B208,Shelter_Design!$A$2:$A$41,0))</f>
        <v>0.031055900621118</v>
      </c>
      <c r="AB208" s="3" t="n">
        <f aca="false">INDEX(Shelter_Design!$Y$2:$Y$41,MATCH($B208,Shelter_Design!$A$2:$A$41,0))</f>
        <v>4</v>
      </c>
      <c r="AC208" s="3" t="str">
        <f aca="false">INDEX(Shelter_Design!$Z$2:$Z$41,MATCH($B208,Shelter_Design!$A$2:$A$41,0))</f>
        <v>Light-moderate</v>
      </c>
      <c r="AD208" s="3" t="n">
        <f aca="false">INDEX(Shelter_Design!$AA$2:$AA$41,MATCH($B208,Shelter_Design!$A$2:$A$41,0))</f>
        <v>1</v>
      </c>
      <c r="AE208" s="3" t="s">
        <v>304</v>
      </c>
    </row>
    <row r="209" customFormat="false" ht="15" hidden="false" customHeight="true" outlineLevel="0" collapsed="false">
      <c r="A209" s="3" t="s">
        <v>511</v>
      </c>
      <c r="B209" s="3" t="s">
        <v>292</v>
      </c>
      <c r="C209" s="3" t="s">
        <v>280</v>
      </c>
      <c r="D209" s="3" t="s">
        <v>303</v>
      </c>
      <c r="E209" s="3" t="s">
        <v>67</v>
      </c>
      <c r="F209" s="3" t="s">
        <v>46</v>
      </c>
      <c r="G209" s="3" t="str">
        <f aca="false">E209&amp;"-"&amp;F209</f>
        <v>Chennai-September</v>
      </c>
      <c r="H209" s="3" t="n">
        <f aca="false">INDEX(Weather_Data!$K$2:$K$73,MATCH($G209,Weather_Data!$J$2:$J$73,0))</f>
        <v>30</v>
      </c>
      <c r="I209" s="3" t="n">
        <f aca="false">INDEX(Weather_Data!$L$2:$L$73,MATCH($G209,Weather_Data!$J$2:$J$73,0))</f>
        <v>72</v>
      </c>
      <c r="J209" s="3" t="n">
        <f aca="false">INDEX(Weather_Data!$M$2:$M$73,MATCH($G209,Weather_Data!$J$2:$J$73,0))</f>
        <v>3.5</v>
      </c>
      <c r="K209" s="3" t="n">
        <f aca="false">INDEX(Weather_Data!$P$2:$P$73,MATCH($G209,Weather_Data!$J$2:$J$73,0))</f>
        <v>216.666666666667</v>
      </c>
      <c r="L209" s="3" t="n">
        <f aca="false">INDEX(Weather_Data!$Q$2:$Q$73,MATCH($G209,Weather_Data!$J$2:$J$73,0))</f>
        <v>120</v>
      </c>
      <c r="M209" s="3" t="str">
        <f aca="false">INDEX(Shelter_Design!$I$2:$I$41,MATCH($B209,Shelter_Design!$A$2:$A$41,0))</f>
        <v>M03+M12</v>
      </c>
      <c r="N209" s="3" t="n">
        <f aca="false">IFERROR(INDEX(Material_Properties!$D$2:$D$21,MATCH(M209,Material_Properties!$A$2:$A$21,0)),1)</f>
        <v>1</v>
      </c>
      <c r="O209" s="3" t="n">
        <f aca="false">INDEX(Shelter_Design!$M$2:$M$41,MATCH($B209,Shelter_Design!$A$2:$A$41,0))</f>
        <v>2</v>
      </c>
      <c r="P209" s="3" t="str">
        <f aca="false">INDEX(Shelter_Design!$L$2:$L$41,MATCH($B209,Shelter_Design!$A$2:$A$41,0))</f>
        <v>M07</v>
      </c>
      <c r="Q209" s="3" t="n">
        <f aca="false">IF(P209="None",0,IFERROR(INDEX(Material_Properties!$D$2:$D$21,MATCH(P209,Material_Properties!$A$2:$A$21,0)),0))</f>
        <v>0.036</v>
      </c>
      <c r="R209" s="3" t="n">
        <f aca="false">INDEX(Shelter_Design!$O$2:$O$41,MATCH($B209,Shelter_Design!$A$2:$A$41,0))</f>
        <v>25</v>
      </c>
      <c r="S209" s="3" t="n">
        <f aca="false">(O209/1000)/N209</f>
        <v>0.002</v>
      </c>
      <c r="T209" s="3" t="n">
        <f aca="false">IF(OR(P209="None",Q209=0),0,(R209/1000)/Q209)</f>
        <v>0.694444444444445</v>
      </c>
      <c r="U209" s="3" t="n">
        <v>0.17</v>
      </c>
      <c r="V209" s="3" t="n">
        <f aca="false">S209+T209+U209</f>
        <v>0.866444444444445</v>
      </c>
      <c r="W209" s="3" t="n">
        <f aca="false">1/V209</f>
        <v>1.1541420877148</v>
      </c>
      <c r="X209" s="3" t="n">
        <f aca="false">INDEX(Shelter_Design!$R$2:$R$41,MATCH($B209,Shelter_Design!$A$2:$A$41,0))</f>
        <v>31.2</v>
      </c>
      <c r="Y209" s="3" t="n">
        <f aca="false">INDEX(Shelter_Design!$P$2:$P$41,MATCH($B209,Shelter_Design!$A$2:$A$41,0))</f>
        <v>1</v>
      </c>
      <c r="Z209" s="3" t="n">
        <f aca="false">INDEX(Shelter_Design!$G$2:$G$41,MATCH($B209,Shelter_Design!$A$2:$A$41,0))</f>
        <v>27.6</v>
      </c>
      <c r="AA209" s="3" t="n">
        <f aca="false">INDEX(Shelter_Design!$S$2:$S$41,MATCH($B209,Shelter_Design!$A$2:$A$41,0))</f>
        <v>0.031055900621118</v>
      </c>
      <c r="AB209" s="3" t="n">
        <f aca="false">INDEX(Shelter_Design!$Y$2:$Y$41,MATCH($B209,Shelter_Design!$A$2:$A$41,0))</f>
        <v>4</v>
      </c>
      <c r="AC209" s="3" t="str">
        <f aca="false">INDEX(Shelter_Design!$Z$2:$Z$41,MATCH($B209,Shelter_Design!$A$2:$A$41,0))</f>
        <v>Light-moderate</v>
      </c>
      <c r="AD209" s="3" t="n">
        <f aca="false">INDEX(Shelter_Design!$AA$2:$AA$41,MATCH($B209,Shelter_Design!$A$2:$A$41,0))</f>
        <v>1</v>
      </c>
      <c r="AE209" s="3" t="s">
        <v>304</v>
      </c>
    </row>
    <row r="210" customFormat="false" ht="15" hidden="false" customHeight="true" outlineLevel="0" collapsed="false">
      <c r="A210" s="3" t="s">
        <v>512</v>
      </c>
      <c r="B210" s="3" t="s">
        <v>221</v>
      </c>
      <c r="C210" s="3" t="s">
        <v>222</v>
      </c>
      <c r="D210" s="3" t="s">
        <v>513</v>
      </c>
      <c r="E210" s="3" t="s">
        <v>67</v>
      </c>
      <c r="F210" s="3" t="s">
        <v>39</v>
      </c>
      <c r="G210" s="3" t="str">
        <f aca="false">E210&amp;"-"&amp;F210</f>
        <v>Chennai-June</v>
      </c>
      <c r="H210" s="3" t="n">
        <f aca="false">INDEX(Weather_Data!$K$2:$K$73,MATCH($G210,Weather_Data!$J$2:$J$73,0))</f>
        <v>33</v>
      </c>
      <c r="I210" s="3" t="n">
        <f aca="false">INDEX(Weather_Data!$L$2:$L$73,MATCH($G210,Weather_Data!$J$2:$J$73,0))</f>
        <v>60</v>
      </c>
      <c r="J210" s="3" t="n">
        <f aca="false">INDEX(Weather_Data!$M$2:$M$73,MATCH($G210,Weather_Data!$J$2:$J$73,0))</f>
        <v>4</v>
      </c>
      <c r="K210" s="3" t="n">
        <f aca="false">INDEX(Weather_Data!$P$2:$P$73,MATCH($G210,Weather_Data!$J$2:$J$73,0))</f>
        <v>229.166666666667</v>
      </c>
      <c r="L210" s="3" t="n">
        <f aca="false">INDEX(Weather_Data!$Q$2:$Q$73,MATCH($G210,Weather_Data!$J$2:$J$73,0))</f>
        <v>50</v>
      </c>
      <c r="M210" s="3" t="str">
        <f aca="false">INDEX(Shelter_Design!$I$2:$I$41,MATCH($B210,Shelter_Design!$A$2:$A$41,0))</f>
        <v>M06</v>
      </c>
      <c r="N210" s="3" t="n">
        <f aca="false">IFERROR(INDEX(Material_Properties!$D$2:$D$21,MATCH(M210,Material_Properties!$A$2:$A$21,0)),1)</f>
        <v>0.14</v>
      </c>
      <c r="O210" s="3" t="n">
        <f aca="false">INDEX(Shelter_Design!$M$2:$M$41,MATCH($B210,Shelter_Design!$A$2:$A$41,0))</f>
        <v>150</v>
      </c>
      <c r="P210" s="3" t="str">
        <f aca="false">INDEX(Shelter_Design!$L$2:$L$41,MATCH($B210,Shelter_Design!$A$2:$A$41,0))</f>
        <v>M11</v>
      </c>
      <c r="Q210" s="3" t="n">
        <f aca="false">IF(P210="None",0,IFERROR(INDEX(Material_Properties!$D$2:$D$21,MATCH(P210,Material_Properties!$A$2:$A$21,0)),0))</f>
        <v>0.025</v>
      </c>
      <c r="R210" s="3" t="n">
        <f aca="false">INDEX(Shelter_Design!$O$2:$O$41,MATCH($B210,Shelter_Design!$A$2:$A$41,0))</f>
        <v>100</v>
      </c>
      <c r="S210" s="3" t="n">
        <f aca="false">(O210/1000)/N210</f>
        <v>1.07142857142857</v>
      </c>
      <c r="T210" s="3" t="n">
        <f aca="false">IF(OR(P210="None",Q210=0),0,(R210/1000)/Q210)</f>
        <v>4</v>
      </c>
      <c r="U210" s="3" t="n">
        <v>0.17</v>
      </c>
      <c r="V210" s="3" t="n">
        <f aca="false">S210+T210+U210</f>
        <v>5.24142857142857</v>
      </c>
      <c r="W210" s="3" t="n">
        <f aca="false">1/V210</f>
        <v>0.190787680566912</v>
      </c>
      <c r="X210" s="3" t="n">
        <f aca="false">INDEX(Shelter_Design!$R$2:$R$41,MATCH($B210,Shelter_Design!$A$2:$A$41,0))</f>
        <v>27.6</v>
      </c>
      <c r="Y210" s="3" t="n">
        <f aca="false">INDEX(Shelter_Design!$P$2:$P$41,MATCH($B210,Shelter_Design!$A$2:$A$41,0))</f>
        <v>1.2</v>
      </c>
      <c r="Z210" s="3" t="n">
        <f aca="false">INDEX(Shelter_Design!$G$2:$G$41,MATCH($B210,Shelter_Design!$A$2:$A$41,0))</f>
        <v>21.6</v>
      </c>
      <c r="AA210" s="3" t="n">
        <f aca="false">INDEX(Shelter_Design!$S$2:$S$41,MATCH($B210,Shelter_Design!$A$2:$A$41,0))</f>
        <v>0.0416666666666667</v>
      </c>
      <c r="AB210" s="3" t="n">
        <f aca="false">INDEX(Shelter_Design!$Y$2:$Y$41,MATCH($B210,Shelter_Design!$A$2:$A$41,0))</f>
        <v>2</v>
      </c>
      <c r="AC210" s="3" t="str">
        <f aca="false">INDEX(Shelter_Design!$Z$2:$Z$41,MATCH($B210,Shelter_Design!$A$2:$A$41,0))</f>
        <v>Resting / sleeping</v>
      </c>
      <c r="AD210" s="3" t="n">
        <f aca="false">INDEX(Shelter_Design!$AA$2:$AA$41,MATCH($B210,Shelter_Design!$A$2:$A$41,0))</f>
        <v>1.75</v>
      </c>
      <c r="AE210" s="3" t="s">
        <v>304</v>
      </c>
    </row>
    <row r="211" customFormat="false" ht="15" hidden="false" customHeight="true" outlineLevel="0" collapsed="false">
      <c r="A211" s="3" t="s">
        <v>514</v>
      </c>
      <c r="B211" s="3" t="s">
        <v>230</v>
      </c>
      <c r="C211" s="3" t="s">
        <v>222</v>
      </c>
      <c r="D211" s="3" t="s">
        <v>513</v>
      </c>
      <c r="E211" s="3" t="s">
        <v>67</v>
      </c>
      <c r="F211" s="3" t="s">
        <v>39</v>
      </c>
      <c r="G211" s="3" t="str">
        <f aca="false">E211&amp;"-"&amp;F211</f>
        <v>Chennai-June</v>
      </c>
      <c r="H211" s="3" t="n">
        <f aca="false">INDEX(Weather_Data!$K$2:$K$73,MATCH($G211,Weather_Data!$J$2:$J$73,0))</f>
        <v>33</v>
      </c>
      <c r="I211" s="3" t="n">
        <f aca="false">INDEX(Weather_Data!$L$2:$L$73,MATCH($G211,Weather_Data!$J$2:$J$73,0))</f>
        <v>60</v>
      </c>
      <c r="J211" s="3" t="n">
        <f aca="false">INDEX(Weather_Data!$M$2:$M$73,MATCH($G211,Weather_Data!$J$2:$J$73,0))</f>
        <v>4</v>
      </c>
      <c r="K211" s="3" t="n">
        <f aca="false">INDEX(Weather_Data!$P$2:$P$73,MATCH($G211,Weather_Data!$J$2:$J$73,0))</f>
        <v>229.166666666667</v>
      </c>
      <c r="L211" s="3" t="n">
        <f aca="false">INDEX(Weather_Data!$Q$2:$Q$73,MATCH($G211,Weather_Data!$J$2:$J$73,0))</f>
        <v>50</v>
      </c>
      <c r="M211" s="3" t="str">
        <f aca="false">INDEX(Shelter_Design!$I$2:$I$41,MATCH($B211,Shelter_Design!$A$2:$A$41,0))</f>
        <v>M06</v>
      </c>
      <c r="N211" s="3" t="n">
        <f aca="false">IFERROR(INDEX(Material_Properties!$D$2:$D$21,MATCH(M211,Material_Properties!$A$2:$A$21,0)),1)</f>
        <v>0.14</v>
      </c>
      <c r="O211" s="3" t="n">
        <f aca="false">INDEX(Shelter_Design!$M$2:$M$41,MATCH($B211,Shelter_Design!$A$2:$A$41,0))</f>
        <v>150</v>
      </c>
      <c r="P211" s="3" t="str">
        <f aca="false">INDEX(Shelter_Design!$L$2:$L$41,MATCH($B211,Shelter_Design!$A$2:$A$41,0))</f>
        <v>M09</v>
      </c>
      <c r="Q211" s="3" t="n">
        <f aca="false">IF(P211="None",0,IFERROR(INDEX(Material_Properties!$D$2:$D$21,MATCH(P211,Material_Properties!$A$2:$A$21,0)),0))</f>
        <v>0.04</v>
      </c>
      <c r="R211" s="3" t="n">
        <f aca="false">INDEX(Shelter_Design!$O$2:$O$41,MATCH($B211,Shelter_Design!$A$2:$A$41,0))</f>
        <v>150</v>
      </c>
      <c r="S211" s="3" t="n">
        <f aca="false">(O211/1000)/N211</f>
        <v>1.07142857142857</v>
      </c>
      <c r="T211" s="3" t="n">
        <f aca="false">IF(OR(P211="None",Q211=0),0,(R211/1000)/Q211)</f>
        <v>3.75</v>
      </c>
      <c r="U211" s="3" t="n">
        <v>0.17</v>
      </c>
      <c r="V211" s="3" t="n">
        <f aca="false">S211+T211+U211</f>
        <v>4.99142857142857</v>
      </c>
      <c r="W211" s="3" t="n">
        <f aca="false">1/V211</f>
        <v>0.20034344590727</v>
      </c>
      <c r="X211" s="3" t="n">
        <f aca="false">INDEX(Shelter_Design!$R$2:$R$41,MATCH($B211,Shelter_Design!$A$2:$A$41,0))</f>
        <v>27.6</v>
      </c>
      <c r="Y211" s="3" t="n">
        <f aca="false">INDEX(Shelter_Design!$P$2:$P$41,MATCH($B211,Shelter_Design!$A$2:$A$41,0))</f>
        <v>1.2</v>
      </c>
      <c r="Z211" s="3" t="n">
        <f aca="false">INDEX(Shelter_Design!$G$2:$G$41,MATCH($B211,Shelter_Design!$A$2:$A$41,0))</f>
        <v>21.6</v>
      </c>
      <c r="AA211" s="3" t="n">
        <f aca="false">INDEX(Shelter_Design!$S$2:$S$41,MATCH($B211,Shelter_Design!$A$2:$A$41,0))</f>
        <v>0.0416666666666667</v>
      </c>
      <c r="AB211" s="3" t="n">
        <f aca="false">INDEX(Shelter_Design!$Y$2:$Y$41,MATCH($B211,Shelter_Design!$A$2:$A$41,0))</f>
        <v>2</v>
      </c>
      <c r="AC211" s="3" t="str">
        <f aca="false">INDEX(Shelter_Design!$Z$2:$Z$41,MATCH($B211,Shelter_Design!$A$2:$A$41,0))</f>
        <v>Resting / sleeping</v>
      </c>
      <c r="AD211" s="3" t="n">
        <f aca="false">INDEX(Shelter_Design!$AA$2:$AA$41,MATCH($B211,Shelter_Design!$A$2:$A$41,0))</f>
        <v>1.75</v>
      </c>
      <c r="AE211" s="3" t="s">
        <v>304</v>
      </c>
    </row>
    <row r="212" customFormat="false" ht="15" hidden="false" customHeight="true" outlineLevel="0" collapsed="false">
      <c r="A212" s="3" t="s">
        <v>515</v>
      </c>
      <c r="B212" s="3" t="s">
        <v>232</v>
      </c>
      <c r="C212" s="3" t="s">
        <v>222</v>
      </c>
      <c r="D212" s="3" t="s">
        <v>513</v>
      </c>
      <c r="E212" s="3" t="s">
        <v>67</v>
      </c>
      <c r="F212" s="3" t="s">
        <v>39</v>
      </c>
      <c r="G212" s="3" t="str">
        <f aca="false">E212&amp;"-"&amp;F212</f>
        <v>Chennai-June</v>
      </c>
      <c r="H212" s="3" t="n">
        <f aca="false">INDEX(Weather_Data!$K$2:$K$73,MATCH($G212,Weather_Data!$J$2:$J$73,0))</f>
        <v>33</v>
      </c>
      <c r="I212" s="3" t="n">
        <f aca="false">INDEX(Weather_Data!$L$2:$L$73,MATCH($G212,Weather_Data!$J$2:$J$73,0))</f>
        <v>60</v>
      </c>
      <c r="J212" s="3" t="n">
        <f aca="false">INDEX(Weather_Data!$M$2:$M$73,MATCH($G212,Weather_Data!$J$2:$J$73,0))</f>
        <v>4</v>
      </c>
      <c r="K212" s="3" t="n">
        <f aca="false">INDEX(Weather_Data!$P$2:$P$73,MATCH($G212,Weather_Data!$J$2:$J$73,0))</f>
        <v>229.166666666667</v>
      </c>
      <c r="L212" s="3" t="n">
        <f aca="false">INDEX(Weather_Data!$Q$2:$Q$73,MATCH($G212,Weather_Data!$J$2:$J$73,0))</f>
        <v>50</v>
      </c>
      <c r="M212" s="3" t="str">
        <f aca="false">INDEX(Shelter_Design!$I$2:$I$41,MATCH($B212,Shelter_Design!$A$2:$A$41,0))</f>
        <v>M15</v>
      </c>
      <c r="N212" s="3" t="n">
        <f aca="false">IFERROR(INDEX(Material_Properties!$D$2:$D$21,MATCH(M212,Material_Properties!$A$2:$A$21,0)),1)</f>
        <v>1</v>
      </c>
      <c r="O212" s="3" t="n">
        <f aca="false">INDEX(Shelter_Design!$M$2:$M$41,MATCH($B212,Shelter_Design!$A$2:$A$41,0))</f>
        <v>250</v>
      </c>
      <c r="P212" s="3" t="str">
        <f aca="false">INDEX(Shelter_Design!$L$2:$L$41,MATCH($B212,Shelter_Design!$A$2:$A$41,0))</f>
        <v>M11</v>
      </c>
      <c r="Q212" s="3" t="n">
        <f aca="false">IF(P212="None",0,IFERROR(INDEX(Material_Properties!$D$2:$D$21,MATCH(P212,Material_Properties!$A$2:$A$21,0)),0))</f>
        <v>0.025</v>
      </c>
      <c r="R212" s="3" t="n">
        <f aca="false">INDEX(Shelter_Design!$O$2:$O$41,MATCH($B212,Shelter_Design!$A$2:$A$41,0))</f>
        <v>100</v>
      </c>
      <c r="S212" s="3" t="n">
        <f aca="false">(O212/1000)/N212</f>
        <v>0.25</v>
      </c>
      <c r="T212" s="3" t="n">
        <f aca="false">IF(OR(P212="None",Q212=0),0,(R212/1000)/Q212)</f>
        <v>4</v>
      </c>
      <c r="U212" s="3" t="n">
        <v>0.17</v>
      </c>
      <c r="V212" s="3" t="n">
        <f aca="false">S212+T212+U212</f>
        <v>4.42</v>
      </c>
      <c r="W212" s="3" t="n">
        <f aca="false">1/V212</f>
        <v>0.226244343891403</v>
      </c>
      <c r="X212" s="3" t="n">
        <f aca="false">INDEX(Shelter_Design!$R$2:$R$41,MATCH($B212,Shelter_Design!$A$2:$A$41,0))</f>
        <v>27.6</v>
      </c>
      <c r="Y212" s="3" t="n">
        <f aca="false">INDEX(Shelter_Design!$P$2:$P$41,MATCH($B212,Shelter_Design!$A$2:$A$41,0))</f>
        <v>1.2</v>
      </c>
      <c r="Z212" s="3" t="n">
        <f aca="false">INDEX(Shelter_Design!$G$2:$G$41,MATCH($B212,Shelter_Design!$A$2:$A$41,0))</f>
        <v>21.6</v>
      </c>
      <c r="AA212" s="3" t="n">
        <f aca="false">INDEX(Shelter_Design!$S$2:$S$41,MATCH($B212,Shelter_Design!$A$2:$A$41,0))</f>
        <v>0.0416666666666667</v>
      </c>
      <c r="AB212" s="3" t="n">
        <f aca="false">INDEX(Shelter_Design!$Y$2:$Y$41,MATCH($B212,Shelter_Design!$A$2:$A$41,0))</f>
        <v>2</v>
      </c>
      <c r="AC212" s="3" t="str">
        <f aca="false">INDEX(Shelter_Design!$Z$2:$Z$41,MATCH($B212,Shelter_Design!$A$2:$A$41,0))</f>
        <v>Resting / sleeping</v>
      </c>
      <c r="AD212" s="3" t="n">
        <f aca="false">INDEX(Shelter_Design!$AA$2:$AA$41,MATCH($B212,Shelter_Design!$A$2:$A$41,0))</f>
        <v>1.75</v>
      </c>
      <c r="AE212" s="3" t="s">
        <v>304</v>
      </c>
    </row>
    <row r="213" customFormat="false" ht="15" hidden="false" customHeight="true" outlineLevel="0" collapsed="false">
      <c r="A213" s="3" t="s">
        <v>516</v>
      </c>
      <c r="B213" s="3" t="s">
        <v>234</v>
      </c>
      <c r="C213" s="3" t="s">
        <v>222</v>
      </c>
      <c r="D213" s="3" t="s">
        <v>513</v>
      </c>
      <c r="E213" s="3" t="s">
        <v>67</v>
      </c>
      <c r="F213" s="3" t="s">
        <v>39</v>
      </c>
      <c r="G213" s="3" t="str">
        <f aca="false">E213&amp;"-"&amp;F213</f>
        <v>Chennai-June</v>
      </c>
      <c r="H213" s="3" t="n">
        <f aca="false">INDEX(Weather_Data!$K$2:$K$73,MATCH($G213,Weather_Data!$J$2:$J$73,0))</f>
        <v>33</v>
      </c>
      <c r="I213" s="3" t="n">
        <f aca="false">INDEX(Weather_Data!$L$2:$L$73,MATCH($G213,Weather_Data!$J$2:$J$73,0))</f>
        <v>60</v>
      </c>
      <c r="J213" s="3" t="n">
        <f aca="false">INDEX(Weather_Data!$M$2:$M$73,MATCH($G213,Weather_Data!$J$2:$J$73,0))</f>
        <v>4</v>
      </c>
      <c r="K213" s="3" t="n">
        <f aca="false">INDEX(Weather_Data!$P$2:$P$73,MATCH($G213,Weather_Data!$J$2:$J$73,0))</f>
        <v>229.166666666667</v>
      </c>
      <c r="L213" s="3" t="n">
        <f aca="false">INDEX(Weather_Data!$Q$2:$Q$73,MATCH($G213,Weather_Data!$J$2:$J$73,0))</f>
        <v>50</v>
      </c>
      <c r="M213" s="3" t="str">
        <f aca="false">INDEX(Shelter_Design!$I$2:$I$41,MATCH($B213,Shelter_Design!$A$2:$A$41,0))</f>
        <v>M15</v>
      </c>
      <c r="N213" s="3" t="n">
        <f aca="false">IFERROR(INDEX(Material_Properties!$D$2:$D$21,MATCH(M213,Material_Properties!$A$2:$A$21,0)),1)</f>
        <v>1</v>
      </c>
      <c r="O213" s="3" t="n">
        <f aca="false">INDEX(Shelter_Design!$M$2:$M$41,MATCH($B213,Shelter_Design!$A$2:$A$41,0))</f>
        <v>250</v>
      </c>
      <c r="P213" s="3" t="str">
        <f aca="false">INDEX(Shelter_Design!$L$2:$L$41,MATCH($B213,Shelter_Design!$A$2:$A$41,0))</f>
        <v>M09</v>
      </c>
      <c r="Q213" s="3" t="n">
        <f aca="false">IF(P213="None",0,IFERROR(INDEX(Material_Properties!$D$2:$D$21,MATCH(P213,Material_Properties!$A$2:$A$21,0)),0))</f>
        <v>0.04</v>
      </c>
      <c r="R213" s="3" t="n">
        <f aca="false">INDEX(Shelter_Design!$O$2:$O$41,MATCH($B213,Shelter_Design!$A$2:$A$41,0))</f>
        <v>150</v>
      </c>
      <c r="S213" s="3" t="n">
        <f aca="false">(O213/1000)/N213</f>
        <v>0.25</v>
      </c>
      <c r="T213" s="3" t="n">
        <f aca="false">IF(OR(P213="None",Q213=0),0,(R213/1000)/Q213)</f>
        <v>3.75</v>
      </c>
      <c r="U213" s="3" t="n">
        <v>0.17</v>
      </c>
      <c r="V213" s="3" t="n">
        <f aca="false">S213+T213+U213</f>
        <v>4.17</v>
      </c>
      <c r="W213" s="3" t="n">
        <f aca="false">1/V213</f>
        <v>0.239808153477218</v>
      </c>
      <c r="X213" s="3" t="n">
        <f aca="false">INDEX(Shelter_Design!$R$2:$R$41,MATCH($B213,Shelter_Design!$A$2:$A$41,0))</f>
        <v>27.6</v>
      </c>
      <c r="Y213" s="3" t="n">
        <f aca="false">INDEX(Shelter_Design!$P$2:$P$41,MATCH($B213,Shelter_Design!$A$2:$A$41,0))</f>
        <v>1.2</v>
      </c>
      <c r="Z213" s="3" t="n">
        <f aca="false">INDEX(Shelter_Design!$G$2:$G$41,MATCH($B213,Shelter_Design!$A$2:$A$41,0))</f>
        <v>21.6</v>
      </c>
      <c r="AA213" s="3" t="n">
        <f aca="false">INDEX(Shelter_Design!$S$2:$S$41,MATCH($B213,Shelter_Design!$A$2:$A$41,0))</f>
        <v>0.0416666666666667</v>
      </c>
      <c r="AB213" s="3" t="n">
        <f aca="false">INDEX(Shelter_Design!$Y$2:$Y$41,MATCH($B213,Shelter_Design!$A$2:$A$41,0))</f>
        <v>2</v>
      </c>
      <c r="AC213" s="3" t="str">
        <f aca="false">INDEX(Shelter_Design!$Z$2:$Z$41,MATCH($B213,Shelter_Design!$A$2:$A$41,0))</f>
        <v>Resting / sleeping</v>
      </c>
      <c r="AD213" s="3" t="n">
        <f aca="false">INDEX(Shelter_Design!$AA$2:$AA$41,MATCH($B213,Shelter_Design!$A$2:$A$41,0))</f>
        <v>1.75</v>
      </c>
      <c r="AE213" s="3" t="s">
        <v>304</v>
      </c>
    </row>
    <row r="214" customFormat="false" ht="15" hidden="false" customHeight="true" outlineLevel="0" collapsed="false">
      <c r="A214" s="3" t="s">
        <v>517</v>
      </c>
      <c r="B214" s="3" t="s">
        <v>236</v>
      </c>
      <c r="C214" s="3" t="s">
        <v>237</v>
      </c>
      <c r="D214" s="3" t="s">
        <v>513</v>
      </c>
      <c r="E214" s="3" t="s">
        <v>20</v>
      </c>
      <c r="F214" s="3" t="s">
        <v>22</v>
      </c>
      <c r="G214" s="3" t="str">
        <f aca="false">E214&amp;"-"&amp;F214</f>
        <v>Leh-January</v>
      </c>
      <c r="H214" s="3" t="n">
        <f aca="false">INDEX(Weather_Data!$K$2:$K$73,MATCH($G214,Weather_Data!$J$2:$J$73,0))</f>
        <v>-8</v>
      </c>
      <c r="I214" s="3" t="n">
        <f aca="false">INDEX(Weather_Data!$L$2:$L$73,MATCH($G214,Weather_Data!$J$2:$J$73,0))</f>
        <v>25</v>
      </c>
      <c r="J214" s="3" t="n">
        <f aca="false">INDEX(Weather_Data!$M$2:$M$73,MATCH($G214,Weather_Data!$J$2:$J$73,0))</f>
        <v>2</v>
      </c>
      <c r="K214" s="3" t="n">
        <f aca="false">INDEX(Weather_Data!$P$2:$P$73,MATCH($G214,Weather_Data!$J$2:$J$73,0))</f>
        <v>166.666666666667</v>
      </c>
      <c r="L214" s="3" t="n">
        <f aca="false">INDEX(Weather_Data!$Q$2:$Q$73,MATCH($G214,Weather_Data!$J$2:$J$73,0))</f>
        <v>5</v>
      </c>
      <c r="M214" s="3" t="str">
        <f aca="false">INDEX(Shelter_Design!$I$2:$I$41,MATCH($B214,Shelter_Design!$A$2:$A$41,0))</f>
        <v>M02</v>
      </c>
      <c r="N214" s="3" t="n">
        <f aca="false">IFERROR(INDEX(Material_Properties!$D$2:$D$21,MATCH(M214,Material_Properties!$A$2:$A$21,0)),1)</f>
        <v>0.7</v>
      </c>
      <c r="O214" s="3" t="n">
        <f aca="false">INDEX(Shelter_Design!$M$2:$M$41,MATCH($B214,Shelter_Design!$A$2:$A$41,0))</f>
        <v>230</v>
      </c>
      <c r="P214" s="3" t="str">
        <f aca="false">INDEX(Shelter_Design!$L$2:$L$41,MATCH($B214,Shelter_Design!$A$2:$A$41,0))</f>
        <v>None</v>
      </c>
      <c r="Q214" s="3" t="n">
        <f aca="false">IF(P214="None",0,IFERROR(INDEX(Material_Properties!$D$2:$D$21,MATCH(P214,Material_Properties!$A$2:$A$21,0)),0))</f>
        <v>0</v>
      </c>
      <c r="R214" s="3" t="n">
        <f aca="false">INDEX(Shelter_Design!$O$2:$O$41,MATCH($B214,Shelter_Design!$A$2:$A$41,0))</f>
        <v>0</v>
      </c>
      <c r="S214" s="3" t="n">
        <f aca="false">(O214/1000)/N214</f>
        <v>0.328571428571429</v>
      </c>
      <c r="T214" s="3" t="n">
        <f aca="false">IF(OR(P214="None",Q214=0),0,(R214/1000)/Q214)</f>
        <v>0</v>
      </c>
      <c r="U214" s="3" t="n">
        <v>0.17</v>
      </c>
      <c r="V214" s="3" t="n">
        <f aca="false">S214+T214+U214</f>
        <v>0.498571428571429</v>
      </c>
      <c r="W214" s="3" t="n">
        <f aca="false">1/V214</f>
        <v>2.00573065902579</v>
      </c>
      <c r="X214" s="3" t="n">
        <f aca="false">INDEX(Shelter_Design!$R$2:$R$41,MATCH($B214,Shelter_Design!$A$2:$A$41,0))</f>
        <v>32.8</v>
      </c>
      <c r="Y214" s="3" t="n">
        <f aca="false">INDEX(Shelter_Design!$P$2:$P$41,MATCH($B214,Shelter_Design!$A$2:$A$41,0))</f>
        <v>1</v>
      </c>
      <c r="Z214" s="3" t="n">
        <f aca="false">INDEX(Shelter_Design!$G$2:$G$41,MATCH($B214,Shelter_Design!$A$2:$A$41,0))</f>
        <v>27.3</v>
      </c>
      <c r="AA214" s="3" t="n">
        <f aca="false">INDEX(Shelter_Design!$S$2:$S$41,MATCH($B214,Shelter_Design!$A$2:$A$41,0))</f>
        <v>0.029585798816568</v>
      </c>
      <c r="AB214" s="3" t="n">
        <f aca="false">INDEX(Shelter_Design!$Y$2:$Y$41,MATCH($B214,Shelter_Design!$A$2:$A$41,0))</f>
        <v>2</v>
      </c>
      <c r="AC214" s="3" t="str">
        <f aca="false">INDEX(Shelter_Design!$Z$2:$Z$41,MATCH($B214,Shelter_Design!$A$2:$A$41,0))</f>
        <v>Light</v>
      </c>
      <c r="AD214" s="3" t="n">
        <f aca="false">INDEX(Shelter_Design!$AA$2:$AA$41,MATCH($B214,Shelter_Design!$A$2:$A$41,0))</f>
        <v>0.5</v>
      </c>
      <c r="AE214" s="3" t="s">
        <v>304</v>
      </c>
    </row>
    <row r="215" customFormat="false" ht="15" hidden="false" customHeight="true" outlineLevel="0" collapsed="false">
      <c r="A215" s="3" t="s">
        <v>518</v>
      </c>
      <c r="B215" s="3" t="s">
        <v>245</v>
      </c>
      <c r="C215" s="3" t="s">
        <v>237</v>
      </c>
      <c r="D215" s="3" t="s">
        <v>513</v>
      </c>
      <c r="E215" s="3" t="s">
        <v>20</v>
      </c>
      <c r="F215" s="3" t="s">
        <v>22</v>
      </c>
      <c r="G215" s="3" t="str">
        <f aca="false">E215&amp;"-"&amp;F215</f>
        <v>Leh-January</v>
      </c>
      <c r="H215" s="3" t="n">
        <f aca="false">INDEX(Weather_Data!$K$2:$K$73,MATCH($G215,Weather_Data!$J$2:$J$73,0))</f>
        <v>-8</v>
      </c>
      <c r="I215" s="3" t="n">
        <f aca="false">INDEX(Weather_Data!$L$2:$L$73,MATCH($G215,Weather_Data!$J$2:$J$73,0))</f>
        <v>25</v>
      </c>
      <c r="J215" s="3" t="n">
        <f aca="false">INDEX(Weather_Data!$M$2:$M$73,MATCH($G215,Weather_Data!$J$2:$J$73,0))</f>
        <v>2</v>
      </c>
      <c r="K215" s="3" t="n">
        <f aca="false">INDEX(Weather_Data!$P$2:$P$73,MATCH($G215,Weather_Data!$J$2:$J$73,0))</f>
        <v>166.666666666667</v>
      </c>
      <c r="L215" s="3" t="n">
        <f aca="false">INDEX(Weather_Data!$Q$2:$Q$73,MATCH($G215,Weather_Data!$J$2:$J$73,0))</f>
        <v>5</v>
      </c>
      <c r="M215" s="3" t="str">
        <f aca="false">INDEX(Shelter_Design!$I$2:$I$41,MATCH($B215,Shelter_Design!$A$2:$A$41,0))</f>
        <v>M02</v>
      </c>
      <c r="N215" s="3" t="n">
        <f aca="false">IFERROR(INDEX(Material_Properties!$D$2:$D$21,MATCH(M215,Material_Properties!$A$2:$A$21,0)),1)</f>
        <v>0.7</v>
      </c>
      <c r="O215" s="3" t="n">
        <f aca="false">INDEX(Shelter_Design!$M$2:$M$41,MATCH($B215,Shelter_Design!$A$2:$A$41,0))</f>
        <v>230</v>
      </c>
      <c r="P215" s="3" t="str">
        <f aca="false">INDEX(Shelter_Design!$L$2:$L$41,MATCH($B215,Shelter_Design!$A$2:$A$41,0))</f>
        <v>M08</v>
      </c>
      <c r="Q215" s="3" t="n">
        <f aca="false">IF(P215="None",0,IFERROR(INDEX(Material_Properties!$D$2:$D$21,MATCH(P215,Material_Properties!$A$2:$A$21,0)),0))</f>
        <v>0.031</v>
      </c>
      <c r="R215" s="3" t="n">
        <f aca="false">INDEX(Shelter_Design!$O$2:$O$41,MATCH($B215,Shelter_Design!$A$2:$A$41,0))</f>
        <v>30</v>
      </c>
      <c r="S215" s="3" t="n">
        <f aca="false">(O215/1000)/N215</f>
        <v>0.328571428571429</v>
      </c>
      <c r="T215" s="3" t="n">
        <f aca="false">IF(OR(P215="None",Q215=0),0,(R215/1000)/Q215)</f>
        <v>0.967741935483871</v>
      </c>
      <c r="U215" s="3" t="n">
        <v>0.17</v>
      </c>
      <c r="V215" s="3" t="n">
        <f aca="false">S215+T215+U215</f>
        <v>1.4663133640553</v>
      </c>
      <c r="W215" s="3" t="n">
        <f aca="false">1/V215</f>
        <v>0.681982463308086</v>
      </c>
      <c r="X215" s="3" t="n">
        <f aca="false">INDEX(Shelter_Design!$R$2:$R$41,MATCH($B215,Shelter_Design!$A$2:$A$41,0))</f>
        <v>32.8</v>
      </c>
      <c r="Y215" s="3" t="n">
        <f aca="false">INDEX(Shelter_Design!$P$2:$P$41,MATCH($B215,Shelter_Design!$A$2:$A$41,0))</f>
        <v>1</v>
      </c>
      <c r="Z215" s="3" t="n">
        <f aca="false">INDEX(Shelter_Design!$G$2:$G$41,MATCH($B215,Shelter_Design!$A$2:$A$41,0))</f>
        <v>27.3</v>
      </c>
      <c r="AA215" s="3" t="n">
        <f aca="false">INDEX(Shelter_Design!$S$2:$S$41,MATCH($B215,Shelter_Design!$A$2:$A$41,0))</f>
        <v>0.029585798816568</v>
      </c>
      <c r="AB215" s="3" t="n">
        <f aca="false">INDEX(Shelter_Design!$Y$2:$Y$41,MATCH($B215,Shelter_Design!$A$2:$A$41,0))</f>
        <v>2</v>
      </c>
      <c r="AC215" s="3" t="str">
        <f aca="false">INDEX(Shelter_Design!$Z$2:$Z$41,MATCH($B215,Shelter_Design!$A$2:$A$41,0))</f>
        <v>Light</v>
      </c>
      <c r="AD215" s="3" t="n">
        <f aca="false">INDEX(Shelter_Design!$AA$2:$AA$41,MATCH($B215,Shelter_Design!$A$2:$A$41,0))</f>
        <v>0.5</v>
      </c>
      <c r="AE215" s="3" t="s">
        <v>304</v>
      </c>
    </row>
    <row r="216" customFormat="false" ht="15" hidden="false" customHeight="true" outlineLevel="0" collapsed="false">
      <c r="A216" s="3" t="s">
        <v>519</v>
      </c>
      <c r="B216" s="3" t="s">
        <v>247</v>
      </c>
      <c r="C216" s="3" t="s">
        <v>237</v>
      </c>
      <c r="D216" s="3" t="s">
        <v>513</v>
      </c>
      <c r="E216" s="3" t="s">
        <v>20</v>
      </c>
      <c r="F216" s="3" t="s">
        <v>22</v>
      </c>
      <c r="G216" s="3" t="str">
        <f aca="false">E216&amp;"-"&amp;F216</f>
        <v>Leh-January</v>
      </c>
      <c r="H216" s="3" t="n">
        <f aca="false">INDEX(Weather_Data!$K$2:$K$73,MATCH($G216,Weather_Data!$J$2:$J$73,0))</f>
        <v>-8</v>
      </c>
      <c r="I216" s="3" t="n">
        <f aca="false">INDEX(Weather_Data!$L$2:$L$73,MATCH($G216,Weather_Data!$J$2:$J$73,0))</f>
        <v>25</v>
      </c>
      <c r="J216" s="3" t="n">
        <f aca="false">INDEX(Weather_Data!$M$2:$M$73,MATCH($G216,Weather_Data!$J$2:$J$73,0))</f>
        <v>2</v>
      </c>
      <c r="K216" s="3" t="n">
        <f aca="false">INDEX(Weather_Data!$P$2:$P$73,MATCH($G216,Weather_Data!$J$2:$J$73,0))</f>
        <v>166.666666666667</v>
      </c>
      <c r="L216" s="3" t="n">
        <f aca="false">INDEX(Weather_Data!$Q$2:$Q$73,MATCH($G216,Weather_Data!$J$2:$J$73,0))</f>
        <v>5</v>
      </c>
      <c r="M216" s="3" t="str">
        <f aca="false">INDEX(Shelter_Design!$I$2:$I$41,MATCH($B216,Shelter_Design!$A$2:$A$41,0))</f>
        <v>M14</v>
      </c>
      <c r="N216" s="3" t="n">
        <f aca="false">IFERROR(INDEX(Material_Properties!$D$2:$D$21,MATCH(M216,Material_Properties!$A$2:$A$21,0)),1)</f>
        <v>0.6</v>
      </c>
      <c r="O216" s="3" t="n">
        <f aca="false">INDEX(Shelter_Design!$M$2:$M$41,MATCH($B216,Shelter_Design!$A$2:$A$41,0))</f>
        <v>300</v>
      </c>
      <c r="P216" s="3" t="str">
        <f aca="false">INDEX(Shelter_Design!$L$2:$L$41,MATCH($B216,Shelter_Design!$A$2:$A$41,0))</f>
        <v>None</v>
      </c>
      <c r="Q216" s="3" t="n">
        <f aca="false">IF(P216="None",0,IFERROR(INDEX(Material_Properties!$D$2:$D$21,MATCH(P216,Material_Properties!$A$2:$A$21,0)),0))</f>
        <v>0</v>
      </c>
      <c r="R216" s="3" t="n">
        <f aca="false">INDEX(Shelter_Design!$O$2:$O$41,MATCH($B216,Shelter_Design!$A$2:$A$41,0))</f>
        <v>0</v>
      </c>
      <c r="S216" s="3" t="n">
        <f aca="false">(O216/1000)/N216</f>
        <v>0.5</v>
      </c>
      <c r="T216" s="3" t="n">
        <f aca="false">IF(OR(P216="None",Q216=0),0,(R216/1000)/Q216)</f>
        <v>0</v>
      </c>
      <c r="U216" s="3" t="n">
        <v>0.17</v>
      </c>
      <c r="V216" s="3" t="n">
        <f aca="false">S216+T216+U216</f>
        <v>0.67</v>
      </c>
      <c r="W216" s="3" t="n">
        <f aca="false">1/V216</f>
        <v>1.49253731343284</v>
      </c>
      <c r="X216" s="3" t="n">
        <f aca="false">INDEX(Shelter_Design!$R$2:$R$41,MATCH($B216,Shelter_Design!$A$2:$A$41,0))</f>
        <v>32.8</v>
      </c>
      <c r="Y216" s="3" t="n">
        <f aca="false">INDEX(Shelter_Design!$P$2:$P$41,MATCH($B216,Shelter_Design!$A$2:$A$41,0))</f>
        <v>1</v>
      </c>
      <c r="Z216" s="3" t="n">
        <f aca="false">INDEX(Shelter_Design!$G$2:$G$41,MATCH($B216,Shelter_Design!$A$2:$A$41,0))</f>
        <v>27.3</v>
      </c>
      <c r="AA216" s="3" t="n">
        <f aca="false">INDEX(Shelter_Design!$S$2:$S$41,MATCH($B216,Shelter_Design!$A$2:$A$41,0))</f>
        <v>0.029585798816568</v>
      </c>
      <c r="AB216" s="3" t="n">
        <f aca="false">INDEX(Shelter_Design!$Y$2:$Y$41,MATCH($B216,Shelter_Design!$A$2:$A$41,0))</f>
        <v>2</v>
      </c>
      <c r="AC216" s="3" t="str">
        <f aca="false">INDEX(Shelter_Design!$Z$2:$Z$41,MATCH($B216,Shelter_Design!$A$2:$A$41,0))</f>
        <v>Light</v>
      </c>
      <c r="AD216" s="3" t="n">
        <f aca="false">INDEX(Shelter_Design!$AA$2:$AA$41,MATCH($B216,Shelter_Design!$A$2:$A$41,0))</f>
        <v>0.5</v>
      </c>
      <c r="AE216" s="3" t="s">
        <v>304</v>
      </c>
    </row>
    <row r="217" customFormat="false" ht="15" hidden="false" customHeight="true" outlineLevel="0" collapsed="false">
      <c r="A217" s="3" t="s">
        <v>520</v>
      </c>
      <c r="B217" s="3" t="s">
        <v>249</v>
      </c>
      <c r="C217" s="3" t="s">
        <v>237</v>
      </c>
      <c r="D217" s="3" t="s">
        <v>513</v>
      </c>
      <c r="E217" s="3" t="s">
        <v>20</v>
      </c>
      <c r="F217" s="3" t="s">
        <v>22</v>
      </c>
      <c r="G217" s="3" t="str">
        <f aca="false">E217&amp;"-"&amp;F217</f>
        <v>Leh-January</v>
      </c>
      <c r="H217" s="3" t="n">
        <f aca="false">INDEX(Weather_Data!$K$2:$K$73,MATCH($G217,Weather_Data!$J$2:$J$73,0))</f>
        <v>-8</v>
      </c>
      <c r="I217" s="3" t="n">
        <f aca="false">INDEX(Weather_Data!$L$2:$L$73,MATCH($G217,Weather_Data!$J$2:$J$73,0))</f>
        <v>25</v>
      </c>
      <c r="J217" s="3" t="n">
        <f aca="false">INDEX(Weather_Data!$M$2:$M$73,MATCH($G217,Weather_Data!$J$2:$J$73,0))</f>
        <v>2</v>
      </c>
      <c r="K217" s="3" t="n">
        <f aca="false">INDEX(Weather_Data!$P$2:$P$73,MATCH($G217,Weather_Data!$J$2:$J$73,0))</f>
        <v>166.666666666667</v>
      </c>
      <c r="L217" s="3" t="n">
        <f aca="false">INDEX(Weather_Data!$Q$2:$Q$73,MATCH($G217,Weather_Data!$J$2:$J$73,0))</f>
        <v>5</v>
      </c>
      <c r="M217" s="3" t="str">
        <f aca="false">INDEX(Shelter_Design!$I$2:$I$41,MATCH($B217,Shelter_Design!$A$2:$A$41,0))</f>
        <v>M14</v>
      </c>
      <c r="N217" s="3" t="n">
        <f aca="false">IFERROR(INDEX(Material_Properties!$D$2:$D$21,MATCH(M217,Material_Properties!$A$2:$A$21,0)),1)</f>
        <v>0.6</v>
      </c>
      <c r="O217" s="3" t="n">
        <f aca="false">INDEX(Shelter_Design!$M$2:$M$41,MATCH($B217,Shelter_Design!$A$2:$A$41,0))</f>
        <v>300</v>
      </c>
      <c r="P217" s="3" t="str">
        <f aca="false">INDEX(Shelter_Design!$L$2:$L$41,MATCH($B217,Shelter_Design!$A$2:$A$41,0))</f>
        <v>M08</v>
      </c>
      <c r="Q217" s="3" t="n">
        <f aca="false">IF(P217="None",0,IFERROR(INDEX(Material_Properties!$D$2:$D$21,MATCH(P217,Material_Properties!$A$2:$A$21,0)),0))</f>
        <v>0.031</v>
      </c>
      <c r="R217" s="3" t="n">
        <f aca="false">INDEX(Shelter_Design!$O$2:$O$41,MATCH($B217,Shelter_Design!$A$2:$A$41,0))</f>
        <v>30</v>
      </c>
      <c r="S217" s="3" t="n">
        <f aca="false">(O217/1000)/N217</f>
        <v>0.5</v>
      </c>
      <c r="T217" s="3" t="n">
        <f aca="false">IF(OR(P217="None",Q217=0),0,(R217/1000)/Q217)</f>
        <v>0.967741935483871</v>
      </c>
      <c r="U217" s="3" t="n">
        <v>0.17</v>
      </c>
      <c r="V217" s="3" t="n">
        <f aca="false">S217+T217+U217</f>
        <v>1.63774193548387</v>
      </c>
      <c r="W217" s="3" t="n">
        <f aca="false">1/V217</f>
        <v>0.610596809139256</v>
      </c>
      <c r="X217" s="3" t="n">
        <f aca="false">INDEX(Shelter_Design!$R$2:$R$41,MATCH($B217,Shelter_Design!$A$2:$A$41,0))</f>
        <v>32.8</v>
      </c>
      <c r="Y217" s="3" t="n">
        <f aca="false">INDEX(Shelter_Design!$P$2:$P$41,MATCH($B217,Shelter_Design!$A$2:$A$41,0))</f>
        <v>1</v>
      </c>
      <c r="Z217" s="3" t="n">
        <f aca="false">INDEX(Shelter_Design!$G$2:$G$41,MATCH($B217,Shelter_Design!$A$2:$A$41,0))</f>
        <v>27.3</v>
      </c>
      <c r="AA217" s="3" t="n">
        <f aca="false">INDEX(Shelter_Design!$S$2:$S$41,MATCH($B217,Shelter_Design!$A$2:$A$41,0))</f>
        <v>0.029585798816568</v>
      </c>
      <c r="AB217" s="3" t="n">
        <f aca="false">INDEX(Shelter_Design!$Y$2:$Y$41,MATCH($B217,Shelter_Design!$A$2:$A$41,0))</f>
        <v>2</v>
      </c>
      <c r="AC217" s="3" t="str">
        <f aca="false">INDEX(Shelter_Design!$Z$2:$Z$41,MATCH($B217,Shelter_Design!$A$2:$A$41,0))</f>
        <v>Light</v>
      </c>
      <c r="AD217" s="3" t="n">
        <f aca="false">INDEX(Shelter_Design!$AA$2:$AA$41,MATCH($B217,Shelter_Design!$A$2:$A$41,0))</f>
        <v>0.5</v>
      </c>
      <c r="AE217" s="3" t="s">
        <v>304</v>
      </c>
    </row>
    <row r="218" customFormat="false" ht="15" hidden="false" customHeight="true" outlineLevel="0" collapsed="false">
      <c r="A218" s="3" t="s">
        <v>521</v>
      </c>
      <c r="B218" s="3" t="s">
        <v>251</v>
      </c>
      <c r="C218" s="3" t="s">
        <v>252</v>
      </c>
      <c r="D218" s="3" t="s">
        <v>513</v>
      </c>
      <c r="E218" s="3" t="s">
        <v>20</v>
      </c>
      <c r="F218" s="3" t="s">
        <v>22</v>
      </c>
      <c r="G218" s="3" t="str">
        <f aca="false">E218&amp;"-"&amp;F218</f>
        <v>Leh-January</v>
      </c>
      <c r="H218" s="3" t="n">
        <f aca="false">INDEX(Weather_Data!$K$2:$K$73,MATCH($G218,Weather_Data!$J$2:$J$73,0))</f>
        <v>-8</v>
      </c>
      <c r="I218" s="3" t="n">
        <f aca="false">INDEX(Weather_Data!$L$2:$L$73,MATCH($G218,Weather_Data!$J$2:$J$73,0))</f>
        <v>25</v>
      </c>
      <c r="J218" s="3" t="n">
        <f aca="false">INDEX(Weather_Data!$M$2:$M$73,MATCH($G218,Weather_Data!$J$2:$J$73,0))</f>
        <v>2</v>
      </c>
      <c r="K218" s="3" t="n">
        <f aca="false">INDEX(Weather_Data!$P$2:$P$73,MATCH($G218,Weather_Data!$J$2:$J$73,0))</f>
        <v>166.666666666667</v>
      </c>
      <c r="L218" s="3" t="n">
        <f aca="false">INDEX(Weather_Data!$Q$2:$Q$73,MATCH($G218,Weather_Data!$J$2:$J$73,0))</f>
        <v>5</v>
      </c>
      <c r="M218" s="3" t="str">
        <f aca="false">INDEX(Shelter_Design!$I$2:$I$41,MATCH($B218,Shelter_Design!$A$2:$A$41,0))</f>
        <v>M02</v>
      </c>
      <c r="N218" s="3" t="n">
        <f aca="false">IFERROR(INDEX(Material_Properties!$D$2:$D$21,MATCH(M218,Material_Properties!$A$2:$A$21,0)),1)</f>
        <v>0.7</v>
      </c>
      <c r="O218" s="3" t="n">
        <f aca="false">INDEX(Shelter_Design!$M$2:$M$41,MATCH($B218,Shelter_Design!$A$2:$A$41,0))</f>
        <v>150</v>
      </c>
      <c r="P218" s="3" t="str">
        <f aca="false">INDEX(Shelter_Design!$L$2:$L$41,MATCH($B218,Shelter_Design!$A$2:$A$41,0))</f>
        <v>None</v>
      </c>
      <c r="Q218" s="3" t="n">
        <f aca="false">IF(P218="None",0,IFERROR(INDEX(Material_Properties!$D$2:$D$21,MATCH(P218,Material_Properties!$A$2:$A$21,0)),0))</f>
        <v>0</v>
      </c>
      <c r="R218" s="3" t="n">
        <f aca="false">INDEX(Shelter_Design!$O$2:$O$41,MATCH($B218,Shelter_Design!$A$2:$A$41,0))</f>
        <v>0</v>
      </c>
      <c r="S218" s="3" t="n">
        <f aca="false">(O218/1000)/N218</f>
        <v>0.214285714285714</v>
      </c>
      <c r="T218" s="3" t="n">
        <f aca="false">IF(OR(P218="None",Q218=0),0,(R218/1000)/Q218)</f>
        <v>0</v>
      </c>
      <c r="U218" s="3" t="n">
        <v>0.17</v>
      </c>
      <c r="V218" s="3" t="n">
        <f aca="false">S218+T218+U218</f>
        <v>0.384285714285714</v>
      </c>
      <c r="W218" s="3" t="n">
        <f aca="false">1/V218</f>
        <v>2.60223048327138</v>
      </c>
      <c r="X218" s="3" t="n">
        <f aca="false">INDEX(Shelter_Design!$R$2:$R$41,MATCH($B218,Shelter_Design!$A$2:$A$41,0))</f>
        <v>34.65</v>
      </c>
      <c r="Y218" s="3" t="n">
        <f aca="false">INDEX(Shelter_Design!$P$2:$P$41,MATCH($B218,Shelter_Design!$A$2:$A$41,0))</f>
        <v>1.75</v>
      </c>
      <c r="Z218" s="3" t="n">
        <f aca="false">INDEX(Shelter_Design!$G$2:$G$41,MATCH($B218,Shelter_Design!$A$2:$A$41,0))</f>
        <v>29.4</v>
      </c>
      <c r="AA218" s="3" t="n">
        <f aca="false">INDEX(Shelter_Design!$S$2:$S$41,MATCH($B218,Shelter_Design!$A$2:$A$41,0))</f>
        <v>0.0480769230769231</v>
      </c>
      <c r="AB218" s="3" t="n">
        <f aca="false">INDEX(Shelter_Design!$Y$2:$Y$41,MATCH($B218,Shelter_Design!$A$2:$A$41,0))</f>
        <v>2</v>
      </c>
      <c r="AC218" s="3" t="str">
        <f aca="false">INDEX(Shelter_Design!$Z$2:$Z$41,MATCH($B218,Shelter_Design!$A$2:$A$41,0))</f>
        <v>Light</v>
      </c>
      <c r="AD218" s="3" t="n">
        <f aca="false">INDEX(Shelter_Design!$AA$2:$AA$41,MATCH($B218,Shelter_Design!$A$2:$A$41,0))</f>
        <v>0.5</v>
      </c>
      <c r="AE218" s="3" t="s">
        <v>304</v>
      </c>
    </row>
    <row r="219" customFormat="false" ht="15" hidden="false" customHeight="true" outlineLevel="0" collapsed="false">
      <c r="A219" s="3" t="s">
        <v>522</v>
      </c>
      <c r="B219" s="3" t="s">
        <v>258</v>
      </c>
      <c r="C219" s="3" t="s">
        <v>252</v>
      </c>
      <c r="D219" s="3" t="s">
        <v>513</v>
      </c>
      <c r="E219" s="3" t="s">
        <v>20</v>
      </c>
      <c r="F219" s="3" t="s">
        <v>22</v>
      </c>
      <c r="G219" s="3" t="str">
        <f aca="false">E219&amp;"-"&amp;F219</f>
        <v>Leh-January</v>
      </c>
      <c r="H219" s="3" t="n">
        <f aca="false">INDEX(Weather_Data!$K$2:$K$73,MATCH($G219,Weather_Data!$J$2:$J$73,0))</f>
        <v>-8</v>
      </c>
      <c r="I219" s="3" t="n">
        <f aca="false">INDEX(Weather_Data!$L$2:$L$73,MATCH($G219,Weather_Data!$J$2:$J$73,0))</f>
        <v>25</v>
      </c>
      <c r="J219" s="3" t="n">
        <f aca="false">INDEX(Weather_Data!$M$2:$M$73,MATCH($G219,Weather_Data!$J$2:$J$73,0))</f>
        <v>2</v>
      </c>
      <c r="K219" s="3" t="n">
        <f aca="false">INDEX(Weather_Data!$P$2:$P$73,MATCH($G219,Weather_Data!$J$2:$J$73,0))</f>
        <v>166.666666666667</v>
      </c>
      <c r="L219" s="3" t="n">
        <f aca="false">INDEX(Weather_Data!$Q$2:$Q$73,MATCH($G219,Weather_Data!$J$2:$J$73,0))</f>
        <v>5</v>
      </c>
      <c r="M219" s="3" t="str">
        <f aca="false">INDEX(Shelter_Design!$I$2:$I$41,MATCH($B219,Shelter_Design!$A$2:$A$41,0))</f>
        <v>M02</v>
      </c>
      <c r="N219" s="3" t="n">
        <f aca="false">IFERROR(INDEX(Material_Properties!$D$2:$D$21,MATCH(M219,Material_Properties!$A$2:$A$21,0)),1)</f>
        <v>0.7</v>
      </c>
      <c r="O219" s="3" t="n">
        <f aca="false">INDEX(Shelter_Design!$M$2:$M$41,MATCH($B219,Shelter_Design!$A$2:$A$41,0))</f>
        <v>150</v>
      </c>
      <c r="P219" s="3" t="str">
        <f aca="false">INDEX(Shelter_Design!$L$2:$L$41,MATCH($B219,Shelter_Design!$A$2:$A$41,0))</f>
        <v>None</v>
      </c>
      <c r="Q219" s="3" t="n">
        <f aca="false">IF(P219="None",0,IFERROR(INDEX(Material_Properties!$D$2:$D$21,MATCH(P219,Material_Properties!$A$2:$A$21,0)),0))</f>
        <v>0</v>
      </c>
      <c r="R219" s="3" t="n">
        <f aca="false">INDEX(Shelter_Design!$O$2:$O$41,MATCH($B219,Shelter_Design!$A$2:$A$41,0))</f>
        <v>0</v>
      </c>
      <c r="S219" s="3" t="n">
        <f aca="false">(O219/1000)/N219</f>
        <v>0.214285714285714</v>
      </c>
      <c r="T219" s="3" t="n">
        <f aca="false">IF(OR(P219="None",Q219=0),0,(R219/1000)/Q219)</f>
        <v>0</v>
      </c>
      <c r="U219" s="3" t="n">
        <v>0.17</v>
      </c>
      <c r="V219" s="3" t="n">
        <f aca="false">S219+T219+U219</f>
        <v>0.384285714285714</v>
      </c>
      <c r="W219" s="3" t="n">
        <f aca="false">1/V219</f>
        <v>2.60223048327138</v>
      </c>
      <c r="X219" s="3" t="n">
        <f aca="false">INDEX(Shelter_Design!$R$2:$R$41,MATCH($B219,Shelter_Design!$A$2:$A$41,0))</f>
        <v>33.95</v>
      </c>
      <c r="Y219" s="3" t="n">
        <f aca="false">INDEX(Shelter_Design!$P$2:$P$41,MATCH($B219,Shelter_Design!$A$2:$A$41,0))</f>
        <v>2.45</v>
      </c>
      <c r="Z219" s="3" t="n">
        <f aca="false">INDEX(Shelter_Design!$G$2:$G$41,MATCH($B219,Shelter_Design!$A$2:$A$41,0))</f>
        <v>29.4</v>
      </c>
      <c r="AA219" s="3" t="n">
        <f aca="false">INDEX(Shelter_Design!$S$2:$S$41,MATCH($B219,Shelter_Design!$A$2:$A$41,0))</f>
        <v>0.0673076923076923</v>
      </c>
      <c r="AB219" s="3" t="n">
        <f aca="false">INDEX(Shelter_Design!$Y$2:$Y$41,MATCH($B219,Shelter_Design!$A$2:$A$41,0))</f>
        <v>2</v>
      </c>
      <c r="AC219" s="3" t="str">
        <f aca="false">INDEX(Shelter_Design!$Z$2:$Z$41,MATCH($B219,Shelter_Design!$A$2:$A$41,0))</f>
        <v>Light</v>
      </c>
      <c r="AD219" s="3" t="n">
        <f aca="false">INDEX(Shelter_Design!$AA$2:$AA$41,MATCH($B219,Shelter_Design!$A$2:$A$41,0))</f>
        <v>0.5</v>
      </c>
      <c r="AE219" s="3" t="s">
        <v>304</v>
      </c>
    </row>
    <row r="220" customFormat="false" ht="15" hidden="false" customHeight="true" outlineLevel="0" collapsed="false">
      <c r="A220" s="3" t="s">
        <v>523</v>
      </c>
      <c r="B220" s="3" t="s">
        <v>261</v>
      </c>
      <c r="C220" s="3" t="s">
        <v>252</v>
      </c>
      <c r="D220" s="3" t="s">
        <v>513</v>
      </c>
      <c r="E220" s="3" t="s">
        <v>20</v>
      </c>
      <c r="F220" s="3" t="s">
        <v>22</v>
      </c>
      <c r="G220" s="3" t="str">
        <f aca="false">E220&amp;"-"&amp;F220</f>
        <v>Leh-January</v>
      </c>
      <c r="H220" s="3" t="n">
        <f aca="false">INDEX(Weather_Data!$K$2:$K$73,MATCH($G220,Weather_Data!$J$2:$J$73,0))</f>
        <v>-8</v>
      </c>
      <c r="I220" s="3" t="n">
        <f aca="false">INDEX(Weather_Data!$L$2:$L$73,MATCH($G220,Weather_Data!$J$2:$J$73,0))</f>
        <v>25</v>
      </c>
      <c r="J220" s="3" t="n">
        <f aca="false">INDEX(Weather_Data!$M$2:$M$73,MATCH($G220,Weather_Data!$J$2:$J$73,0))</f>
        <v>2</v>
      </c>
      <c r="K220" s="3" t="n">
        <f aca="false">INDEX(Weather_Data!$P$2:$P$73,MATCH($G220,Weather_Data!$J$2:$J$73,0))</f>
        <v>166.666666666667</v>
      </c>
      <c r="L220" s="3" t="n">
        <f aca="false">INDEX(Weather_Data!$Q$2:$Q$73,MATCH($G220,Weather_Data!$J$2:$J$73,0))</f>
        <v>5</v>
      </c>
      <c r="M220" s="3" t="str">
        <f aca="false">INDEX(Shelter_Design!$I$2:$I$41,MATCH($B220,Shelter_Design!$A$2:$A$41,0))</f>
        <v>M06</v>
      </c>
      <c r="N220" s="3" t="n">
        <f aca="false">IFERROR(INDEX(Material_Properties!$D$2:$D$21,MATCH(M220,Material_Properties!$A$2:$A$21,0)),1)</f>
        <v>0.14</v>
      </c>
      <c r="O220" s="3" t="n">
        <f aca="false">INDEX(Shelter_Design!$M$2:$M$41,MATCH($B220,Shelter_Design!$A$2:$A$41,0))</f>
        <v>150</v>
      </c>
      <c r="P220" s="3" t="str">
        <f aca="false">INDEX(Shelter_Design!$L$2:$L$41,MATCH($B220,Shelter_Design!$A$2:$A$41,0))</f>
        <v>None</v>
      </c>
      <c r="Q220" s="3" t="n">
        <f aca="false">IF(P220="None",0,IFERROR(INDEX(Material_Properties!$D$2:$D$21,MATCH(P220,Material_Properties!$A$2:$A$21,0)),0))</f>
        <v>0</v>
      </c>
      <c r="R220" s="3" t="n">
        <f aca="false">INDEX(Shelter_Design!$O$2:$O$41,MATCH($B220,Shelter_Design!$A$2:$A$41,0))</f>
        <v>0</v>
      </c>
      <c r="S220" s="3" t="n">
        <f aca="false">(O220/1000)/N220</f>
        <v>1.07142857142857</v>
      </c>
      <c r="T220" s="3" t="n">
        <f aca="false">IF(OR(P220="None",Q220=0),0,(R220/1000)/Q220)</f>
        <v>0</v>
      </c>
      <c r="U220" s="3" t="n">
        <v>0.17</v>
      </c>
      <c r="V220" s="3" t="n">
        <f aca="false">S220+T220+U220</f>
        <v>1.24142857142857</v>
      </c>
      <c r="W220" s="3" t="n">
        <f aca="false">1/V220</f>
        <v>0.805523590333717</v>
      </c>
      <c r="X220" s="3" t="n">
        <f aca="false">INDEX(Shelter_Design!$R$2:$R$41,MATCH($B220,Shelter_Design!$A$2:$A$41,0))</f>
        <v>34.65</v>
      </c>
      <c r="Y220" s="3" t="n">
        <f aca="false">INDEX(Shelter_Design!$P$2:$P$41,MATCH($B220,Shelter_Design!$A$2:$A$41,0))</f>
        <v>1.75</v>
      </c>
      <c r="Z220" s="3" t="n">
        <f aca="false">INDEX(Shelter_Design!$G$2:$G$41,MATCH($B220,Shelter_Design!$A$2:$A$41,0))</f>
        <v>29.4</v>
      </c>
      <c r="AA220" s="3" t="n">
        <f aca="false">INDEX(Shelter_Design!$S$2:$S$41,MATCH($B220,Shelter_Design!$A$2:$A$41,0))</f>
        <v>0.0480769230769231</v>
      </c>
      <c r="AB220" s="3" t="n">
        <f aca="false">INDEX(Shelter_Design!$Y$2:$Y$41,MATCH($B220,Shelter_Design!$A$2:$A$41,0))</f>
        <v>2</v>
      </c>
      <c r="AC220" s="3" t="str">
        <f aca="false">INDEX(Shelter_Design!$Z$2:$Z$41,MATCH($B220,Shelter_Design!$A$2:$A$41,0))</f>
        <v>Light</v>
      </c>
      <c r="AD220" s="3" t="n">
        <f aca="false">INDEX(Shelter_Design!$AA$2:$AA$41,MATCH($B220,Shelter_Design!$A$2:$A$41,0))</f>
        <v>0.5</v>
      </c>
      <c r="AE220" s="3" t="s">
        <v>304</v>
      </c>
    </row>
    <row r="221" customFormat="false" ht="15" hidden="false" customHeight="true" outlineLevel="0" collapsed="false">
      <c r="A221" s="3" t="s">
        <v>524</v>
      </c>
      <c r="B221" s="3" t="s">
        <v>263</v>
      </c>
      <c r="C221" s="3" t="s">
        <v>252</v>
      </c>
      <c r="D221" s="3" t="s">
        <v>513</v>
      </c>
      <c r="E221" s="3" t="s">
        <v>20</v>
      </c>
      <c r="F221" s="3" t="s">
        <v>22</v>
      </c>
      <c r="G221" s="3" t="str">
        <f aca="false">E221&amp;"-"&amp;F221</f>
        <v>Leh-January</v>
      </c>
      <c r="H221" s="3" t="n">
        <f aca="false">INDEX(Weather_Data!$K$2:$K$73,MATCH($G221,Weather_Data!$J$2:$J$73,0))</f>
        <v>-8</v>
      </c>
      <c r="I221" s="3" t="n">
        <f aca="false">INDEX(Weather_Data!$L$2:$L$73,MATCH($G221,Weather_Data!$J$2:$J$73,0))</f>
        <v>25</v>
      </c>
      <c r="J221" s="3" t="n">
        <f aca="false">INDEX(Weather_Data!$M$2:$M$73,MATCH($G221,Weather_Data!$J$2:$J$73,0))</f>
        <v>2</v>
      </c>
      <c r="K221" s="3" t="n">
        <f aca="false">INDEX(Weather_Data!$P$2:$P$73,MATCH($G221,Weather_Data!$J$2:$J$73,0))</f>
        <v>166.666666666667</v>
      </c>
      <c r="L221" s="3" t="n">
        <f aca="false">INDEX(Weather_Data!$Q$2:$Q$73,MATCH($G221,Weather_Data!$J$2:$J$73,0))</f>
        <v>5</v>
      </c>
      <c r="M221" s="3" t="str">
        <f aca="false">INDEX(Shelter_Design!$I$2:$I$41,MATCH($B221,Shelter_Design!$A$2:$A$41,0))</f>
        <v>M06</v>
      </c>
      <c r="N221" s="3" t="n">
        <f aca="false">IFERROR(INDEX(Material_Properties!$D$2:$D$21,MATCH(M221,Material_Properties!$A$2:$A$21,0)),1)</f>
        <v>0.14</v>
      </c>
      <c r="O221" s="3" t="n">
        <f aca="false">INDEX(Shelter_Design!$M$2:$M$41,MATCH($B221,Shelter_Design!$A$2:$A$41,0))</f>
        <v>150</v>
      </c>
      <c r="P221" s="3" t="str">
        <f aca="false">INDEX(Shelter_Design!$L$2:$L$41,MATCH($B221,Shelter_Design!$A$2:$A$41,0))</f>
        <v>None</v>
      </c>
      <c r="Q221" s="3" t="n">
        <f aca="false">IF(P221="None",0,IFERROR(INDEX(Material_Properties!$D$2:$D$21,MATCH(P221,Material_Properties!$A$2:$A$21,0)),0))</f>
        <v>0</v>
      </c>
      <c r="R221" s="3" t="n">
        <f aca="false">INDEX(Shelter_Design!$O$2:$O$41,MATCH($B221,Shelter_Design!$A$2:$A$41,0))</f>
        <v>0</v>
      </c>
      <c r="S221" s="3" t="n">
        <f aca="false">(O221/1000)/N221</f>
        <v>1.07142857142857</v>
      </c>
      <c r="T221" s="3" t="n">
        <f aca="false">IF(OR(P221="None",Q221=0),0,(R221/1000)/Q221)</f>
        <v>0</v>
      </c>
      <c r="U221" s="3" t="n">
        <v>0.17</v>
      </c>
      <c r="V221" s="3" t="n">
        <f aca="false">S221+T221+U221</f>
        <v>1.24142857142857</v>
      </c>
      <c r="W221" s="3" t="n">
        <f aca="false">1/V221</f>
        <v>0.805523590333717</v>
      </c>
      <c r="X221" s="3" t="n">
        <f aca="false">INDEX(Shelter_Design!$R$2:$R$41,MATCH($B221,Shelter_Design!$A$2:$A$41,0))</f>
        <v>33.95</v>
      </c>
      <c r="Y221" s="3" t="n">
        <f aca="false">INDEX(Shelter_Design!$P$2:$P$41,MATCH($B221,Shelter_Design!$A$2:$A$41,0))</f>
        <v>2.45</v>
      </c>
      <c r="Z221" s="3" t="n">
        <f aca="false">INDEX(Shelter_Design!$G$2:$G$41,MATCH($B221,Shelter_Design!$A$2:$A$41,0))</f>
        <v>29.4</v>
      </c>
      <c r="AA221" s="3" t="n">
        <f aca="false">INDEX(Shelter_Design!$S$2:$S$41,MATCH($B221,Shelter_Design!$A$2:$A$41,0))</f>
        <v>0.0673076923076923</v>
      </c>
      <c r="AB221" s="3" t="n">
        <f aca="false">INDEX(Shelter_Design!$Y$2:$Y$41,MATCH($B221,Shelter_Design!$A$2:$A$41,0))</f>
        <v>2</v>
      </c>
      <c r="AC221" s="3" t="str">
        <f aca="false">INDEX(Shelter_Design!$Z$2:$Z$41,MATCH($B221,Shelter_Design!$A$2:$A$41,0))</f>
        <v>Light</v>
      </c>
      <c r="AD221" s="3" t="n">
        <f aca="false">INDEX(Shelter_Design!$AA$2:$AA$41,MATCH($B221,Shelter_Design!$A$2:$A$41,0))</f>
        <v>0.5</v>
      </c>
      <c r="AE221" s="3" t="s">
        <v>304</v>
      </c>
    </row>
    <row r="222" customFormat="false" ht="15" hidden="false" customHeight="true" outlineLevel="0" collapsed="false">
      <c r="A222" s="3" t="s">
        <v>525</v>
      </c>
      <c r="B222" s="3" t="s">
        <v>265</v>
      </c>
      <c r="C222" s="3" t="s">
        <v>266</v>
      </c>
      <c r="D222" s="3" t="s">
        <v>513</v>
      </c>
      <c r="E222" s="3" t="s">
        <v>60</v>
      </c>
      <c r="F222" s="3" t="s">
        <v>39</v>
      </c>
      <c r="G222" s="3" t="str">
        <f aca="false">E222&amp;"-"&amp;F222</f>
        <v>Jaisalmer-June</v>
      </c>
      <c r="H222" s="3" t="n">
        <f aca="false">INDEX(Weather_Data!$K$2:$K$73,MATCH($G222,Weather_Data!$J$2:$J$73,0))</f>
        <v>38</v>
      </c>
      <c r="I222" s="3" t="n">
        <f aca="false">INDEX(Weather_Data!$L$2:$L$73,MATCH($G222,Weather_Data!$J$2:$J$73,0))</f>
        <v>30</v>
      </c>
      <c r="J222" s="3" t="n">
        <f aca="false">INDEX(Weather_Data!$M$2:$M$73,MATCH($G222,Weather_Data!$J$2:$J$73,0))</f>
        <v>4.5</v>
      </c>
      <c r="K222" s="3" t="n">
        <f aca="false">INDEX(Weather_Data!$P$2:$P$73,MATCH($G222,Weather_Data!$J$2:$J$73,0))</f>
        <v>270.833333333333</v>
      </c>
      <c r="L222" s="3" t="n">
        <f aca="false">INDEX(Weather_Data!$Q$2:$Q$73,MATCH($G222,Weather_Data!$J$2:$J$73,0))</f>
        <v>15</v>
      </c>
      <c r="M222" s="3" t="str">
        <f aca="false">INDEX(Shelter_Design!$I$2:$I$41,MATCH($B222,Shelter_Design!$A$2:$A$41,0))</f>
        <v>M02</v>
      </c>
      <c r="N222" s="3" t="n">
        <f aca="false">IFERROR(INDEX(Material_Properties!$D$2:$D$21,MATCH(M222,Material_Properties!$A$2:$A$21,0)),1)</f>
        <v>0.7</v>
      </c>
      <c r="O222" s="3" t="n">
        <f aca="false">INDEX(Shelter_Design!$M$2:$M$41,MATCH($B222,Shelter_Design!$A$2:$A$41,0))</f>
        <v>230</v>
      </c>
      <c r="P222" s="3" t="str">
        <f aca="false">INDEX(Shelter_Design!$L$2:$L$41,MATCH($B222,Shelter_Design!$A$2:$A$41,0))</f>
        <v>M10</v>
      </c>
      <c r="Q222" s="3" t="n">
        <f aca="false">IF(P222="None",0,IFERROR(INDEX(Material_Properties!$D$2:$D$21,MATCH(P222,Material_Properties!$A$2:$A$21,0)),0))</f>
        <v>0.038</v>
      </c>
      <c r="R222" s="3" t="n">
        <f aca="false">INDEX(Shelter_Design!$O$2:$O$41,MATCH($B222,Shelter_Design!$A$2:$A$41,0))</f>
        <v>50</v>
      </c>
      <c r="S222" s="3" t="n">
        <f aca="false">(O222/1000)/N222</f>
        <v>0.328571428571429</v>
      </c>
      <c r="T222" s="3" t="n">
        <f aca="false">IF(OR(P222="None",Q222=0),0,(R222/1000)/Q222)</f>
        <v>1.31578947368421</v>
      </c>
      <c r="U222" s="3" t="n">
        <v>0.17</v>
      </c>
      <c r="V222" s="3" t="n">
        <f aca="false">S222+T222+U222</f>
        <v>1.81436090225564</v>
      </c>
      <c r="W222" s="3" t="n">
        <f aca="false">1/V222</f>
        <v>0.551158261157847</v>
      </c>
      <c r="X222" s="3" t="n">
        <f aca="false">INDEX(Shelter_Design!$R$2:$R$41,MATCH($B222,Shelter_Design!$A$2:$A$41,0))</f>
        <v>35</v>
      </c>
      <c r="Y222" s="3" t="n">
        <f aca="false">INDEX(Shelter_Design!$P$2:$P$41,MATCH($B222,Shelter_Design!$A$2:$A$41,0))</f>
        <v>1.4</v>
      </c>
      <c r="Z222" s="3" t="n">
        <f aca="false">INDEX(Shelter_Design!$G$2:$G$41,MATCH($B222,Shelter_Design!$A$2:$A$41,0))</f>
        <v>31.85</v>
      </c>
      <c r="AA222" s="3" t="n">
        <f aca="false">INDEX(Shelter_Design!$S$2:$S$41,MATCH($B222,Shelter_Design!$A$2:$A$41,0))</f>
        <v>0.0384615384615385</v>
      </c>
      <c r="AB222" s="3" t="n">
        <f aca="false">INDEX(Shelter_Design!$Y$2:$Y$41,MATCH($B222,Shelter_Design!$A$2:$A$41,0))</f>
        <v>3</v>
      </c>
      <c r="AC222" s="3" t="str">
        <f aca="false">INDEX(Shelter_Design!$Z$2:$Z$41,MATCH($B222,Shelter_Design!$A$2:$A$41,0))</f>
        <v>Light-moderate</v>
      </c>
      <c r="AD222" s="3" t="n">
        <f aca="false">INDEX(Shelter_Design!$AA$2:$AA$41,MATCH($B222,Shelter_Design!$A$2:$A$41,0))</f>
        <v>1</v>
      </c>
      <c r="AE222" s="3" t="s">
        <v>304</v>
      </c>
    </row>
    <row r="223" customFormat="false" ht="15" hidden="false" customHeight="true" outlineLevel="0" collapsed="false">
      <c r="A223" s="3" t="s">
        <v>526</v>
      </c>
      <c r="B223" s="3" t="s">
        <v>273</v>
      </c>
      <c r="C223" s="3" t="s">
        <v>266</v>
      </c>
      <c r="D223" s="3" t="s">
        <v>513</v>
      </c>
      <c r="E223" s="3" t="s">
        <v>60</v>
      </c>
      <c r="F223" s="3" t="s">
        <v>39</v>
      </c>
      <c r="G223" s="3" t="str">
        <f aca="false">E223&amp;"-"&amp;F223</f>
        <v>Jaisalmer-June</v>
      </c>
      <c r="H223" s="3" t="n">
        <f aca="false">INDEX(Weather_Data!$K$2:$K$73,MATCH($G223,Weather_Data!$J$2:$J$73,0))</f>
        <v>38</v>
      </c>
      <c r="I223" s="3" t="n">
        <f aca="false">INDEX(Weather_Data!$L$2:$L$73,MATCH($G223,Weather_Data!$J$2:$J$73,0))</f>
        <v>30</v>
      </c>
      <c r="J223" s="3" t="n">
        <f aca="false">INDEX(Weather_Data!$M$2:$M$73,MATCH($G223,Weather_Data!$J$2:$J$73,0))</f>
        <v>4.5</v>
      </c>
      <c r="K223" s="3" t="n">
        <f aca="false">INDEX(Weather_Data!$P$2:$P$73,MATCH($G223,Weather_Data!$J$2:$J$73,0))</f>
        <v>270.833333333333</v>
      </c>
      <c r="L223" s="3" t="n">
        <f aca="false">INDEX(Weather_Data!$Q$2:$Q$73,MATCH($G223,Weather_Data!$J$2:$J$73,0))</f>
        <v>15</v>
      </c>
      <c r="M223" s="3" t="str">
        <f aca="false">INDEX(Shelter_Design!$I$2:$I$41,MATCH($B223,Shelter_Design!$A$2:$A$41,0))</f>
        <v>M02</v>
      </c>
      <c r="N223" s="3" t="n">
        <f aca="false">IFERROR(INDEX(Material_Properties!$D$2:$D$21,MATCH(M223,Material_Properties!$A$2:$A$21,0)),1)</f>
        <v>0.7</v>
      </c>
      <c r="O223" s="3" t="n">
        <f aca="false">INDEX(Shelter_Design!$M$2:$M$41,MATCH($B223,Shelter_Design!$A$2:$A$41,0))</f>
        <v>230</v>
      </c>
      <c r="P223" s="3" t="str">
        <f aca="false">INDEX(Shelter_Design!$L$2:$L$41,MATCH($B223,Shelter_Design!$A$2:$A$41,0))</f>
        <v>M10</v>
      </c>
      <c r="Q223" s="3" t="n">
        <f aca="false">IF(P223="None",0,IFERROR(INDEX(Material_Properties!$D$2:$D$21,MATCH(P223,Material_Properties!$A$2:$A$21,0)),0))</f>
        <v>0.038</v>
      </c>
      <c r="R223" s="3" t="n">
        <f aca="false">INDEX(Shelter_Design!$O$2:$O$41,MATCH($B223,Shelter_Design!$A$2:$A$41,0))</f>
        <v>100</v>
      </c>
      <c r="S223" s="3" t="n">
        <f aca="false">(O223/1000)/N223</f>
        <v>0.328571428571429</v>
      </c>
      <c r="T223" s="3" t="n">
        <f aca="false">IF(OR(P223="None",Q223=0),0,(R223/1000)/Q223)</f>
        <v>2.63157894736842</v>
      </c>
      <c r="U223" s="3" t="n">
        <v>0.17</v>
      </c>
      <c r="V223" s="3" t="n">
        <f aca="false">S223+T223+U223</f>
        <v>3.13015037593985</v>
      </c>
      <c r="W223" s="3" t="n">
        <f aca="false">1/V223</f>
        <v>0.319473469289712</v>
      </c>
      <c r="X223" s="3" t="n">
        <f aca="false">INDEX(Shelter_Design!$R$2:$R$41,MATCH($B223,Shelter_Design!$A$2:$A$41,0))</f>
        <v>35</v>
      </c>
      <c r="Y223" s="3" t="n">
        <f aca="false">INDEX(Shelter_Design!$P$2:$P$41,MATCH($B223,Shelter_Design!$A$2:$A$41,0))</f>
        <v>1.4</v>
      </c>
      <c r="Z223" s="3" t="n">
        <f aca="false">INDEX(Shelter_Design!$G$2:$G$41,MATCH($B223,Shelter_Design!$A$2:$A$41,0))</f>
        <v>31.85</v>
      </c>
      <c r="AA223" s="3" t="n">
        <f aca="false">INDEX(Shelter_Design!$S$2:$S$41,MATCH($B223,Shelter_Design!$A$2:$A$41,0))</f>
        <v>0.0384615384615385</v>
      </c>
      <c r="AB223" s="3" t="n">
        <f aca="false">INDEX(Shelter_Design!$Y$2:$Y$41,MATCH($B223,Shelter_Design!$A$2:$A$41,0))</f>
        <v>3</v>
      </c>
      <c r="AC223" s="3" t="str">
        <f aca="false">INDEX(Shelter_Design!$Z$2:$Z$41,MATCH($B223,Shelter_Design!$A$2:$A$41,0))</f>
        <v>Light-moderate</v>
      </c>
      <c r="AD223" s="3" t="n">
        <f aca="false">INDEX(Shelter_Design!$AA$2:$AA$41,MATCH($B223,Shelter_Design!$A$2:$A$41,0))</f>
        <v>1</v>
      </c>
      <c r="AE223" s="3" t="s">
        <v>304</v>
      </c>
    </row>
    <row r="224" customFormat="false" ht="15" hidden="false" customHeight="true" outlineLevel="0" collapsed="false">
      <c r="A224" s="3" t="s">
        <v>527</v>
      </c>
      <c r="B224" s="3" t="s">
        <v>275</v>
      </c>
      <c r="C224" s="3" t="s">
        <v>266</v>
      </c>
      <c r="D224" s="3" t="s">
        <v>513</v>
      </c>
      <c r="E224" s="3" t="s">
        <v>60</v>
      </c>
      <c r="F224" s="3" t="s">
        <v>39</v>
      </c>
      <c r="G224" s="3" t="str">
        <f aca="false">E224&amp;"-"&amp;F224</f>
        <v>Jaisalmer-June</v>
      </c>
      <c r="H224" s="3" t="n">
        <f aca="false">INDEX(Weather_Data!$K$2:$K$73,MATCH($G224,Weather_Data!$J$2:$J$73,0))</f>
        <v>38</v>
      </c>
      <c r="I224" s="3" t="n">
        <f aca="false">INDEX(Weather_Data!$L$2:$L$73,MATCH($G224,Weather_Data!$J$2:$J$73,0))</f>
        <v>30</v>
      </c>
      <c r="J224" s="3" t="n">
        <f aca="false">INDEX(Weather_Data!$M$2:$M$73,MATCH($G224,Weather_Data!$J$2:$J$73,0))</f>
        <v>4.5</v>
      </c>
      <c r="K224" s="3" t="n">
        <f aca="false">INDEX(Weather_Data!$P$2:$P$73,MATCH($G224,Weather_Data!$J$2:$J$73,0))</f>
        <v>270.833333333333</v>
      </c>
      <c r="L224" s="3" t="n">
        <f aca="false">INDEX(Weather_Data!$Q$2:$Q$73,MATCH($G224,Weather_Data!$J$2:$J$73,0))</f>
        <v>15</v>
      </c>
      <c r="M224" s="3" t="str">
        <f aca="false">INDEX(Shelter_Design!$I$2:$I$41,MATCH($B224,Shelter_Design!$A$2:$A$41,0))</f>
        <v>M06</v>
      </c>
      <c r="N224" s="3" t="n">
        <f aca="false">IFERROR(INDEX(Material_Properties!$D$2:$D$21,MATCH(M224,Material_Properties!$A$2:$A$21,0)),1)</f>
        <v>0.14</v>
      </c>
      <c r="O224" s="3" t="n">
        <f aca="false">INDEX(Shelter_Design!$M$2:$M$41,MATCH($B224,Shelter_Design!$A$2:$A$41,0))</f>
        <v>150</v>
      </c>
      <c r="P224" s="3" t="str">
        <f aca="false">INDEX(Shelter_Design!$L$2:$L$41,MATCH($B224,Shelter_Design!$A$2:$A$41,0))</f>
        <v>M10</v>
      </c>
      <c r="Q224" s="3" t="n">
        <f aca="false">IF(P224="None",0,IFERROR(INDEX(Material_Properties!$D$2:$D$21,MATCH(P224,Material_Properties!$A$2:$A$21,0)),0))</f>
        <v>0.038</v>
      </c>
      <c r="R224" s="3" t="n">
        <f aca="false">INDEX(Shelter_Design!$O$2:$O$41,MATCH($B224,Shelter_Design!$A$2:$A$41,0))</f>
        <v>50</v>
      </c>
      <c r="S224" s="3" t="n">
        <f aca="false">(O224/1000)/N224</f>
        <v>1.07142857142857</v>
      </c>
      <c r="T224" s="3" t="n">
        <f aca="false">IF(OR(P224="None",Q224=0),0,(R224/1000)/Q224)</f>
        <v>1.31578947368421</v>
      </c>
      <c r="U224" s="3" t="n">
        <v>0.17</v>
      </c>
      <c r="V224" s="3" t="n">
        <f aca="false">S224+T224+U224</f>
        <v>2.55721804511278</v>
      </c>
      <c r="W224" s="3" t="n">
        <f aca="false">1/V224</f>
        <v>0.391049954426509</v>
      </c>
      <c r="X224" s="3" t="n">
        <f aca="false">INDEX(Shelter_Design!$R$2:$R$41,MATCH($B224,Shelter_Design!$A$2:$A$41,0))</f>
        <v>35</v>
      </c>
      <c r="Y224" s="3" t="n">
        <f aca="false">INDEX(Shelter_Design!$P$2:$P$41,MATCH($B224,Shelter_Design!$A$2:$A$41,0))</f>
        <v>1.4</v>
      </c>
      <c r="Z224" s="3" t="n">
        <f aca="false">INDEX(Shelter_Design!$G$2:$G$41,MATCH($B224,Shelter_Design!$A$2:$A$41,0))</f>
        <v>31.85</v>
      </c>
      <c r="AA224" s="3" t="n">
        <f aca="false">INDEX(Shelter_Design!$S$2:$S$41,MATCH($B224,Shelter_Design!$A$2:$A$41,0))</f>
        <v>0.0384615384615385</v>
      </c>
      <c r="AB224" s="3" t="n">
        <f aca="false">INDEX(Shelter_Design!$Y$2:$Y$41,MATCH($B224,Shelter_Design!$A$2:$A$41,0))</f>
        <v>3</v>
      </c>
      <c r="AC224" s="3" t="str">
        <f aca="false">INDEX(Shelter_Design!$Z$2:$Z$41,MATCH($B224,Shelter_Design!$A$2:$A$41,0))</f>
        <v>Light-moderate</v>
      </c>
      <c r="AD224" s="3" t="n">
        <f aca="false">INDEX(Shelter_Design!$AA$2:$AA$41,MATCH($B224,Shelter_Design!$A$2:$A$41,0))</f>
        <v>1</v>
      </c>
      <c r="AE224" s="3" t="s">
        <v>304</v>
      </c>
    </row>
    <row r="225" customFormat="false" ht="15" hidden="false" customHeight="true" outlineLevel="0" collapsed="false">
      <c r="A225" s="3" t="s">
        <v>528</v>
      </c>
      <c r="B225" s="3" t="s">
        <v>277</v>
      </c>
      <c r="C225" s="3" t="s">
        <v>266</v>
      </c>
      <c r="D225" s="3" t="s">
        <v>513</v>
      </c>
      <c r="E225" s="3" t="s">
        <v>60</v>
      </c>
      <c r="F225" s="3" t="s">
        <v>39</v>
      </c>
      <c r="G225" s="3" t="str">
        <f aca="false">E225&amp;"-"&amp;F225</f>
        <v>Jaisalmer-June</v>
      </c>
      <c r="H225" s="3" t="n">
        <f aca="false">INDEX(Weather_Data!$K$2:$K$73,MATCH($G225,Weather_Data!$J$2:$J$73,0))</f>
        <v>38</v>
      </c>
      <c r="I225" s="3" t="n">
        <f aca="false">INDEX(Weather_Data!$L$2:$L$73,MATCH($G225,Weather_Data!$J$2:$J$73,0))</f>
        <v>30</v>
      </c>
      <c r="J225" s="3" t="n">
        <f aca="false">INDEX(Weather_Data!$M$2:$M$73,MATCH($G225,Weather_Data!$J$2:$J$73,0))</f>
        <v>4.5</v>
      </c>
      <c r="K225" s="3" t="n">
        <f aca="false">INDEX(Weather_Data!$P$2:$P$73,MATCH($G225,Weather_Data!$J$2:$J$73,0))</f>
        <v>270.833333333333</v>
      </c>
      <c r="L225" s="3" t="n">
        <f aca="false">INDEX(Weather_Data!$Q$2:$Q$73,MATCH($G225,Weather_Data!$J$2:$J$73,0))</f>
        <v>15</v>
      </c>
      <c r="M225" s="3" t="str">
        <f aca="false">INDEX(Shelter_Design!$I$2:$I$41,MATCH($B225,Shelter_Design!$A$2:$A$41,0))</f>
        <v>M06</v>
      </c>
      <c r="N225" s="3" t="n">
        <f aca="false">IFERROR(INDEX(Material_Properties!$D$2:$D$21,MATCH(M225,Material_Properties!$A$2:$A$21,0)),1)</f>
        <v>0.14</v>
      </c>
      <c r="O225" s="3" t="n">
        <f aca="false">INDEX(Shelter_Design!$M$2:$M$41,MATCH($B225,Shelter_Design!$A$2:$A$41,0))</f>
        <v>150</v>
      </c>
      <c r="P225" s="3" t="str">
        <f aca="false">INDEX(Shelter_Design!$L$2:$L$41,MATCH($B225,Shelter_Design!$A$2:$A$41,0))</f>
        <v>M10</v>
      </c>
      <c r="Q225" s="3" t="n">
        <f aca="false">IF(P225="None",0,IFERROR(INDEX(Material_Properties!$D$2:$D$21,MATCH(P225,Material_Properties!$A$2:$A$21,0)),0))</f>
        <v>0.038</v>
      </c>
      <c r="R225" s="3" t="n">
        <f aca="false">INDEX(Shelter_Design!$O$2:$O$41,MATCH($B225,Shelter_Design!$A$2:$A$41,0))</f>
        <v>100</v>
      </c>
      <c r="S225" s="3" t="n">
        <f aca="false">(O225/1000)/N225</f>
        <v>1.07142857142857</v>
      </c>
      <c r="T225" s="3" t="n">
        <f aca="false">IF(OR(P225="None",Q225=0),0,(R225/1000)/Q225)</f>
        <v>2.63157894736842</v>
      </c>
      <c r="U225" s="3" t="n">
        <v>0.17</v>
      </c>
      <c r="V225" s="3" t="n">
        <f aca="false">S225+T225+U225</f>
        <v>3.87300751879699</v>
      </c>
      <c r="W225" s="3" t="n">
        <f aca="false">1/V225</f>
        <v>0.258197278251247</v>
      </c>
      <c r="X225" s="3" t="n">
        <f aca="false">INDEX(Shelter_Design!$R$2:$R$41,MATCH($B225,Shelter_Design!$A$2:$A$41,0))</f>
        <v>35</v>
      </c>
      <c r="Y225" s="3" t="n">
        <f aca="false">INDEX(Shelter_Design!$P$2:$P$41,MATCH($B225,Shelter_Design!$A$2:$A$41,0))</f>
        <v>1.4</v>
      </c>
      <c r="Z225" s="3" t="n">
        <f aca="false">INDEX(Shelter_Design!$G$2:$G$41,MATCH($B225,Shelter_Design!$A$2:$A$41,0))</f>
        <v>31.85</v>
      </c>
      <c r="AA225" s="3" t="n">
        <f aca="false">INDEX(Shelter_Design!$S$2:$S$41,MATCH($B225,Shelter_Design!$A$2:$A$41,0))</f>
        <v>0.0384615384615385</v>
      </c>
      <c r="AB225" s="3" t="n">
        <f aca="false">INDEX(Shelter_Design!$Y$2:$Y$41,MATCH($B225,Shelter_Design!$A$2:$A$41,0))</f>
        <v>3</v>
      </c>
      <c r="AC225" s="3" t="str">
        <f aca="false">INDEX(Shelter_Design!$Z$2:$Z$41,MATCH($B225,Shelter_Design!$A$2:$A$41,0))</f>
        <v>Light-moderate</v>
      </c>
      <c r="AD225" s="3" t="n">
        <f aca="false">INDEX(Shelter_Design!$AA$2:$AA$41,MATCH($B225,Shelter_Design!$A$2:$A$41,0))</f>
        <v>1</v>
      </c>
      <c r="AE225" s="3" t="s">
        <v>304</v>
      </c>
    </row>
    <row r="226" customFormat="false" ht="15" hidden="false" customHeight="true" outlineLevel="0" collapsed="false">
      <c r="A226" s="3" t="s">
        <v>529</v>
      </c>
      <c r="B226" s="3" t="s">
        <v>279</v>
      </c>
      <c r="C226" s="3" t="s">
        <v>280</v>
      </c>
      <c r="D226" s="3" t="s">
        <v>513</v>
      </c>
      <c r="E226" s="3" t="s">
        <v>62</v>
      </c>
      <c r="F226" s="3" t="s">
        <v>42</v>
      </c>
      <c r="G226" s="3" t="str">
        <f aca="false">E226&amp;"-"&amp;F226</f>
        <v>Guwahati-July</v>
      </c>
      <c r="H226" s="3" t="n">
        <f aca="false">INDEX(Weather_Data!$K$2:$K$73,MATCH($G226,Weather_Data!$J$2:$J$73,0))</f>
        <v>28</v>
      </c>
      <c r="I226" s="3" t="n">
        <f aca="false">INDEX(Weather_Data!$L$2:$L$73,MATCH($G226,Weather_Data!$J$2:$J$73,0))</f>
        <v>88</v>
      </c>
      <c r="J226" s="3" t="n">
        <f aca="false">INDEX(Weather_Data!$M$2:$M$73,MATCH($G226,Weather_Data!$J$2:$J$73,0))</f>
        <v>2.3</v>
      </c>
      <c r="K226" s="3" t="n">
        <f aca="false">INDEX(Weather_Data!$P$2:$P$73,MATCH($G226,Weather_Data!$J$2:$J$73,0))</f>
        <v>158.333333333333</v>
      </c>
      <c r="L226" s="3" t="n">
        <f aca="false">INDEX(Weather_Data!$Q$2:$Q$73,MATCH($G226,Weather_Data!$J$2:$J$73,0))</f>
        <v>320</v>
      </c>
      <c r="M226" s="3" t="str">
        <f aca="false">INDEX(Shelter_Design!$I$2:$I$41,MATCH($B226,Shelter_Design!$A$2:$A$41,0))</f>
        <v>M12</v>
      </c>
      <c r="N226" s="3" t="n">
        <f aca="false">IFERROR(INDEX(Material_Properties!$D$2:$D$21,MATCH(M226,Material_Properties!$A$2:$A$21,0)),1)</f>
        <v>0.05</v>
      </c>
      <c r="O226" s="3" t="n">
        <f aca="false">INDEX(Shelter_Design!$M$2:$M$41,MATCH($B226,Shelter_Design!$A$2:$A$41,0))</f>
        <v>2</v>
      </c>
      <c r="P226" s="3" t="str">
        <f aca="false">INDEX(Shelter_Design!$L$2:$L$41,MATCH($B226,Shelter_Design!$A$2:$A$41,0))</f>
        <v>None</v>
      </c>
      <c r="Q226" s="3" t="n">
        <f aca="false">IF(P226="None",0,IFERROR(INDEX(Material_Properties!$D$2:$D$21,MATCH(P226,Material_Properties!$A$2:$A$21,0)),0))</f>
        <v>0</v>
      </c>
      <c r="R226" s="3" t="n">
        <f aca="false">INDEX(Shelter_Design!$O$2:$O$41,MATCH($B226,Shelter_Design!$A$2:$A$41,0))</f>
        <v>0</v>
      </c>
      <c r="S226" s="3" t="n">
        <f aca="false">(O226/1000)/N226</f>
        <v>0.04</v>
      </c>
      <c r="T226" s="3" t="n">
        <f aca="false">IF(OR(P226="None",Q226=0),0,(R226/1000)/Q226)</f>
        <v>0</v>
      </c>
      <c r="U226" s="3" t="n">
        <v>0.17</v>
      </c>
      <c r="V226" s="3" t="n">
        <f aca="false">S226+T226+U226</f>
        <v>0.21</v>
      </c>
      <c r="W226" s="3" t="n">
        <f aca="false">1/V226</f>
        <v>4.76190476190476</v>
      </c>
      <c r="X226" s="3" t="n">
        <f aca="false">INDEX(Shelter_Design!$R$2:$R$41,MATCH($B226,Shelter_Design!$A$2:$A$41,0))</f>
        <v>25.4</v>
      </c>
      <c r="Y226" s="3" t="n">
        <f aca="false">INDEX(Shelter_Design!$P$2:$P$41,MATCH($B226,Shelter_Design!$A$2:$A$41,0))</f>
        <v>1</v>
      </c>
      <c r="Z226" s="3" t="n">
        <f aca="false">INDEX(Shelter_Design!$G$2:$G$41,MATCH($B226,Shelter_Design!$A$2:$A$41,0))</f>
        <v>19.8</v>
      </c>
      <c r="AA226" s="3" t="n">
        <f aca="false">INDEX(Shelter_Design!$S$2:$S$41,MATCH($B226,Shelter_Design!$A$2:$A$41,0))</f>
        <v>0.0378787878787879</v>
      </c>
      <c r="AB226" s="3" t="n">
        <f aca="false">INDEX(Shelter_Design!$Y$2:$Y$41,MATCH($B226,Shelter_Design!$A$2:$A$41,0))</f>
        <v>2</v>
      </c>
      <c r="AC226" s="3" t="str">
        <f aca="false">INDEX(Shelter_Design!$Z$2:$Z$41,MATCH($B226,Shelter_Design!$A$2:$A$41,0))</f>
        <v>Light-moderate</v>
      </c>
      <c r="AD226" s="3" t="n">
        <f aca="false">INDEX(Shelter_Design!$AA$2:$AA$41,MATCH($B226,Shelter_Design!$A$2:$A$41,0))</f>
        <v>1</v>
      </c>
      <c r="AE226" s="3" t="s">
        <v>304</v>
      </c>
    </row>
    <row r="227" customFormat="false" ht="15" hidden="false" customHeight="true" outlineLevel="0" collapsed="false">
      <c r="A227" s="3" t="s">
        <v>530</v>
      </c>
      <c r="B227" s="3" t="s">
        <v>285</v>
      </c>
      <c r="C227" s="3" t="s">
        <v>280</v>
      </c>
      <c r="D227" s="3" t="s">
        <v>513</v>
      </c>
      <c r="E227" s="3" t="s">
        <v>62</v>
      </c>
      <c r="F227" s="3" t="s">
        <v>42</v>
      </c>
      <c r="G227" s="3" t="str">
        <f aca="false">E227&amp;"-"&amp;F227</f>
        <v>Guwahati-July</v>
      </c>
      <c r="H227" s="3" t="n">
        <f aca="false">INDEX(Weather_Data!$K$2:$K$73,MATCH($G227,Weather_Data!$J$2:$J$73,0))</f>
        <v>28</v>
      </c>
      <c r="I227" s="3" t="n">
        <f aca="false">INDEX(Weather_Data!$L$2:$L$73,MATCH($G227,Weather_Data!$J$2:$J$73,0))</f>
        <v>88</v>
      </c>
      <c r="J227" s="3" t="n">
        <f aca="false">INDEX(Weather_Data!$M$2:$M$73,MATCH($G227,Weather_Data!$J$2:$J$73,0))</f>
        <v>2.3</v>
      </c>
      <c r="K227" s="3" t="n">
        <f aca="false">INDEX(Weather_Data!$P$2:$P$73,MATCH($G227,Weather_Data!$J$2:$J$73,0))</f>
        <v>158.333333333333</v>
      </c>
      <c r="L227" s="3" t="n">
        <f aca="false">INDEX(Weather_Data!$Q$2:$Q$73,MATCH($G227,Weather_Data!$J$2:$J$73,0))</f>
        <v>320</v>
      </c>
      <c r="M227" s="3" t="str">
        <f aca="false">INDEX(Shelter_Design!$I$2:$I$41,MATCH($B227,Shelter_Design!$A$2:$A$41,0))</f>
        <v>M12</v>
      </c>
      <c r="N227" s="3" t="n">
        <f aca="false">IFERROR(INDEX(Material_Properties!$D$2:$D$21,MATCH(M227,Material_Properties!$A$2:$A$21,0)),1)</f>
        <v>0.05</v>
      </c>
      <c r="O227" s="3" t="n">
        <f aca="false">INDEX(Shelter_Design!$M$2:$M$41,MATCH($B227,Shelter_Design!$A$2:$A$41,0))</f>
        <v>2</v>
      </c>
      <c r="P227" s="3" t="str">
        <f aca="false">INDEX(Shelter_Design!$L$2:$L$41,MATCH($B227,Shelter_Design!$A$2:$A$41,0))</f>
        <v>None</v>
      </c>
      <c r="Q227" s="3" t="n">
        <f aca="false">IF(P227="None",0,IFERROR(INDEX(Material_Properties!$D$2:$D$21,MATCH(P227,Material_Properties!$A$2:$A$21,0)),0))</f>
        <v>0</v>
      </c>
      <c r="R227" s="3" t="n">
        <f aca="false">INDEX(Shelter_Design!$O$2:$O$41,MATCH($B227,Shelter_Design!$A$2:$A$41,0))</f>
        <v>0</v>
      </c>
      <c r="S227" s="3" t="n">
        <f aca="false">(O227/1000)/N227</f>
        <v>0.04</v>
      </c>
      <c r="T227" s="3" t="n">
        <f aca="false">IF(OR(P227="None",Q227=0),0,(R227/1000)/Q227)</f>
        <v>0</v>
      </c>
      <c r="U227" s="3" t="n">
        <v>0.17</v>
      </c>
      <c r="V227" s="3" t="n">
        <f aca="false">S227+T227+U227</f>
        <v>0.21</v>
      </c>
      <c r="W227" s="3" t="n">
        <f aca="false">1/V227</f>
        <v>4.76190476190476</v>
      </c>
      <c r="X227" s="3" t="n">
        <f aca="false">INDEX(Shelter_Design!$R$2:$R$41,MATCH($B227,Shelter_Design!$A$2:$A$41,0))</f>
        <v>31.2</v>
      </c>
      <c r="Y227" s="3" t="n">
        <f aca="false">INDEX(Shelter_Design!$P$2:$P$41,MATCH($B227,Shelter_Design!$A$2:$A$41,0))</f>
        <v>1</v>
      </c>
      <c r="Z227" s="3" t="n">
        <f aca="false">INDEX(Shelter_Design!$G$2:$G$41,MATCH($B227,Shelter_Design!$A$2:$A$41,0))</f>
        <v>27.6</v>
      </c>
      <c r="AA227" s="3" t="n">
        <f aca="false">INDEX(Shelter_Design!$S$2:$S$41,MATCH($B227,Shelter_Design!$A$2:$A$41,0))</f>
        <v>0.031055900621118</v>
      </c>
      <c r="AB227" s="3" t="n">
        <f aca="false">INDEX(Shelter_Design!$Y$2:$Y$41,MATCH($B227,Shelter_Design!$A$2:$A$41,0))</f>
        <v>4</v>
      </c>
      <c r="AC227" s="3" t="str">
        <f aca="false">INDEX(Shelter_Design!$Z$2:$Z$41,MATCH($B227,Shelter_Design!$A$2:$A$41,0))</f>
        <v>Light-moderate</v>
      </c>
      <c r="AD227" s="3" t="n">
        <f aca="false">INDEX(Shelter_Design!$AA$2:$AA$41,MATCH($B227,Shelter_Design!$A$2:$A$41,0))</f>
        <v>1</v>
      </c>
      <c r="AE227" s="3" t="s">
        <v>304</v>
      </c>
    </row>
    <row r="228" customFormat="false" ht="15" hidden="false" customHeight="true" outlineLevel="0" collapsed="false">
      <c r="A228" s="3" t="s">
        <v>531</v>
      </c>
      <c r="B228" s="3" t="s">
        <v>235</v>
      </c>
      <c r="C228" s="3" t="s">
        <v>222</v>
      </c>
      <c r="D228" s="3" t="s">
        <v>513</v>
      </c>
      <c r="E228" s="3" t="s">
        <v>60</v>
      </c>
      <c r="F228" s="3" t="s">
        <v>39</v>
      </c>
      <c r="G228" s="3" t="str">
        <f aca="false">E228&amp;"-"&amp;F228</f>
        <v>Jaisalmer-June</v>
      </c>
      <c r="H228" s="3" t="n">
        <f aca="false">INDEX(Weather_Data!$K$2:$K$73,MATCH($G228,Weather_Data!$J$2:$J$73,0))</f>
        <v>38</v>
      </c>
      <c r="I228" s="3" t="n">
        <f aca="false">INDEX(Weather_Data!$L$2:$L$73,MATCH($G228,Weather_Data!$J$2:$J$73,0))</f>
        <v>30</v>
      </c>
      <c r="J228" s="3" t="n">
        <f aca="false">INDEX(Weather_Data!$M$2:$M$73,MATCH($G228,Weather_Data!$J$2:$J$73,0))</f>
        <v>4.5</v>
      </c>
      <c r="K228" s="3" t="n">
        <f aca="false">INDEX(Weather_Data!$P$2:$P$73,MATCH($G228,Weather_Data!$J$2:$J$73,0))</f>
        <v>270.833333333333</v>
      </c>
      <c r="L228" s="3" t="n">
        <f aca="false">INDEX(Weather_Data!$Q$2:$Q$73,MATCH($G228,Weather_Data!$J$2:$J$73,0))</f>
        <v>15</v>
      </c>
      <c r="M228" s="3" t="str">
        <f aca="false">INDEX(Shelter_Design!$I$2:$I$41,MATCH($B228,Shelter_Design!$A$2:$A$41,0))</f>
        <v>M15</v>
      </c>
      <c r="N228" s="3" t="n">
        <f aca="false">IFERROR(INDEX(Material_Properties!$D$2:$D$21,MATCH(M228,Material_Properties!$A$2:$A$21,0)),1)</f>
        <v>1</v>
      </c>
      <c r="O228" s="3" t="n">
        <f aca="false">INDEX(Shelter_Design!$M$2:$M$41,MATCH($B228,Shelter_Design!$A$2:$A$41,0))</f>
        <v>250</v>
      </c>
      <c r="P228" s="3" t="str">
        <f aca="false">INDEX(Shelter_Design!$L$2:$L$41,MATCH($B228,Shelter_Design!$A$2:$A$41,0))</f>
        <v>M09</v>
      </c>
      <c r="Q228" s="3" t="n">
        <f aca="false">IF(P228="None",0,IFERROR(INDEX(Material_Properties!$D$2:$D$21,MATCH(P228,Material_Properties!$A$2:$A$21,0)),0))</f>
        <v>0.04</v>
      </c>
      <c r="R228" s="3" t="n">
        <f aca="false">INDEX(Shelter_Design!$O$2:$O$41,MATCH($B228,Shelter_Design!$A$2:$A$41,0))</f>
        <v>150</v>
      </c>
      <c r="S228" s="3" t="n">
        <f aca="false">(O228/1000)/N228</f>
        <v>0.25</v>
      </c>
      <c r="T228" s="3" t="n">
        <f aca="false">IF(OR(P228="None",Q228=0),0,(R228/1000)/Q228)</f>
        <v>3.75</v>
      </c>
      <c r="U228" s="3" t="n">
        <v>0.17</v>
      </c>
      <c r="V228" s="3" t="n">
        <f aca="false">S228+T228+U228</f>
        <v>4.17</v>
      </c>
      <c r="W228" s="3" t="n">
        <f aca="false">1/V228</f>
        <v>0.239808153477218</v>
      </c>
      <c r="X228" s="3" t="n">
        <f aca="false">INDEX(Shelter_Design!$R$2:$R$41,MATCH($B228,Shelter_Design!$A$2:$A$41,0))</f>
        <v>45</v>
      </c>
      <c r="Y228" s="3" t="n">
        <f aca="false">INDEX(Shelter_Design!$P$2:$P$41,MATCH($B228,Shelter_Design!$A$2:$A$41,0))</f>
        <v>1.8</v>
      </c>
      <c r="Z228" s="3" t="n">
        <f aca="false">INDEX(Shelter_Design!$G$2:$G$41,MATCH($B228,Shelter_Design!$A$2:$A$41,0))</f>
        <v>52</v>
      </c>
      <c r="AA228" s="3" t="n">
        <f aca="false">INDEX(Shelter_Design!$S$2:$S$41,MATCH($B228,Shelter_Design!$A$2:$A$41,0))</f>
        <v>0.0384615384615385</v>
      </c>
      <c r="AB228" s="3" t="n">
        <f aca="false">INDEX(Shelter_Design!$Y$2:$Y$41,MATCH($B228,Shelter_Design!$A$2:$A$41,0))</f>
        <v>5</v>
      </c>
      <c r="AC228" s="3" t="str">
        <f aca="false">INDEX(Shelter_Design!$Z$2:$Z$41,MATCH($B228,Shelter_Design!$A$2:$A$41,0))</f>
        <v>Resting / sleeping</v>
      </c>
      <c r="AD228" s="3" t="n">
        <f aca="false">INDEX(Shelter_Design!$AA$2:$AA$41,MATCH($B228,Shelter_Design!$A$2:$A$41,0))</f>
        <v>1.75</v>
      </c>
      <c r="AE228" s="3" t="s">
        <v>304</v>
      </c>
    </row>
    <row r="229" customFormat="false" ht="15" hidden="false" customHeight="true" outlineLevel="0" collapsed="false">
      <c r="A229" s="3" t="s">
        <v>532</v>
      </c>
      <c r="B229" s="3" t="s">
        <v>250</v>
      </c>
      <c r="C229" s="3" t="s">
        <v>237</v>
      </c>
      <c r="D229" s="3" t="s">
        <v>513</v>
      </c>
      <c r="E229" s="3" t="s">
        <v>20</v>
      </c>
      <c r="F229" s="3" t="s">
        <v>22</v>
      </c>
      <c r="G229" s="3" t="str">
        <f aca="false">E229&amp;"-"&amp;F229</f>
        <v>Leh-January</v>
      </c>
      <c r="H229" s="3" t="n">
        <f aca="false">INDEX(Weather_Data!$K$2:$K$73,MATCH($G229,Weather_Data!$J$2:$J$73,0))</f>
        <v>-8</v>
      </c>
      <c r="I229" s="3" t="n">
        <f aca="false">INDEX(Weather_Data!$L$2:$L$73,MATCH($G229,Weather_Data!$J$2:$J$73,0))</f>
        <v>25</v>
      </c>
      <c r="J229" s="3" t="n">
        <f aca="false">INDEX(Weather_Data!$M$2:$M$73,MATCH($G229,Weather_Data!$J$2:$J$73,0))</f>
        <v>2</v>
      </c>
      <c r="K229" s="3" t="n">
        <f aca="false">INDEX(Weather_Data!$P$2:$P$73,MATCH($G229,Weather_Data!$J$2:$J$73,0))</f>
        <v>166.666666666667</v>
      </c>
      <c r="L229" s="3" t="n">
        <f aca="false">INDEX(Weather_Data!$Q$2:$Q$73,MATCH($G229,Weather_Data!$J$2:$J$73,0))</f>
        <v>5</v>
      </c>
      <c r="M229" s="3" t="str">
        <f aca="false">INDEX(Shelter_Design!$I$2:$I$41,MATCH($B229,Shelter_Design!$A$2:$A$41,0))</f>
        <v>M14</v>
      </c>
      <c r="N229" s="3" t="n">
        <f aca="false">IFERROR(INDEX(Material_Properties!$D$2:$D$21,MATCH(M229,Material_Properties!$A$2:$A$21,0)),1)</f>
        <v>0.6</v>
      </c>
      <c r="O229" s="3" t="n">
        <f aca="false">INDEX(Shelter_Design!$M$2:$M$41,MATCH($B229,Shelter_Design!$A$2:$A$41,0))</f>
        <v>300</v>
      </c>
      <c r="P229" s="3" t="str">
        <f aca="false">INDEX(Shelter_Design!$L$2:$L$41,MATCH($B229,Shelter_Design!$A$2:$A$41,0))</f>
        <v>M08</v>
      </c>
      <c r="Q229" s="3" t="n">
        <f aca="false">IF(P229="None",0,IFERROR(INDEX(Material_Properties!$D$2:$D$21,MATCH(P229,Material_Properties!$A$2:$A$21,0)),0))</f>
        <v>0.031</v>
      </c>
      <c r="R229" s="3" t="n">
        <f aca="false">INDEX(Shelter_Design!$O$2:$O$41,MATCH($B229,Shelter_Design!$A$2:$A$41,0))</f>
        <v>30</v>
      </c>
      <c r="S229" s="3" t="n">
        <f aca="false">(O229/1000)/N229</f>
        <v>0.5</v>
      </c>
      <c r="T229" s="3" t="n">
        <f aca="false">IF(OR(P229="None",Q229=0),0,(R229/1000)/Q229)</f>
        <v>0.967741935483871</v>
      </c>
      <c r="U229" s="3" t="n">
        <v>0.17</v>
      </c>
      <c r="V229" s="3" t="n">
        <f aca="false">S229+T229+U229</f>
        <v>1.63774193548387</v>
      </c>
      <c r="W229" s="3" t="n">
        <f aca="false">1/V229</f>
        <v>0.610596809139256</v>
      </c>
      <c r="X229" s="3" t="n">
        <f aca="false">INDEX(Shelter_Design!$R$2:$R$41,MATCH($B229,Shelter_Design!$A$2:$A$41,0))</f>
        <v>51.6</v>
      </c>
      <c r="Y229" s="3" t="n">
        <f aca="false">INDEX(Shelter_Design!$P$2:$P$41,MATCH($B229,Shelter_Design!$A$2:$A$41,0))</f>
        <v>1.6</v>
      </c>
      <c r="Z229" s="3" t="n">
        <f aca="false">INDEX(Shelter_Design!$G$2:$G$41,MATCH($B229,Shelter_Design!$A$2:$A$41,0))</f>
        <v>63</v>
      </c>
      <c r="AA229" s="3" t="n">
        <f aca="false">INDEX(Shelter_Design!$S$2:$S$41,MATCH($B229,Shelter_Design!$A$2:$A$41,0))</f>
        <v>0.0300751879699248</v>
      </c>
      <c r="AB229" s="3" t="n">
        <f aca="false">INDEX(Shelter_Design!$Y$2:$Y$41,MATCH($B229,Shelter_Design!$A$2:$A$41,0))</f>
        <v>5</v>
      </c>
      <c r="AC229" s="3" t="str">
        <f aca="false">INDEX(Shelter_Design!$Z$2:$Z$41,MATCH($B229,Shelter_Design!$A$2:$A$41,0))</f>
        <v>Light</v>
      </c>
      <c r="AD229" s="3" t="n">
        <f aca="false">INDEX(Shelter_Design!$AA$2:$AA$41,MATCH($B229,Shelter_Design!$A$2:$A$41,0))</f>
        <v>0.5</v>
      </c>
      <c r="AE229" s="3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23" style="0" width="55"/>
    <col collapsed="false" customWidth="true" hidden="false" outlineLevel="0" max="24" min="24" style="0" width="70"/>
  </cols>
  <sheetData>
    <row r="1" customFormat="false" ht="15" hidden="false" customHeight="false" outlineLevel="0" collapsed="false">
      <c r="A1" s="4" t="s">
        <v>293</v>
      </c>
      <c r="B1" s="4" t="s">
        <v>533</v>
      </c>
      <c r="C1" s="4" t="s">
        <v>534</v>
      </c>
      <c r="D1" s="4" t="s">
        <v>535</v>
      </c>
      <c r="E1" s="4" t="s">
        <v>536</v>
      </c>
      <c r="F1" s="4" t="s">
        <v>537</v>
      </c>
      <c r="G1" s="4" t="s">
        <v>538</v>
      </c>
      <c r="H1" s="4" t="s">
        <v>539</v>
      </c>
      <c r="I1" s="4" t="s">
        <v>540</v>
      </c>
      <c r="J1" s="4" t="s">
        <v>541</v>
      </c>
      <c r="K1" s="4" t="s">
        <v>542</v>
      </c>
      <c r="L1" s="4" t="s">
        <v>543</v>
      </c>
      <c r="M1" s="4" t="s">
        <v>544</v>
      </c>
      <c r="N1" s="4" t="s">
        <v>545</v>
      </c>
      <c r="O1" s="4" t="s">
        <v>546</v>
      </c>
      <c r="P1" s="4" t="s">
        <v>547</v>
      </c>
      <c r="Q1" s="4" t="s">
        <v>548</v>
      </c>
      <c r="R1" s="4" t="s">
        <v>549</v>
      </c>
      <c r="S1" s="4" t="s">
        <v>550</v>
      </c>
      <c r="T1" s="4" t="s">
        <v>551</v>
      </c>
      <c r="U1" s="4" t="s">
        <v>552</v>
      </c>
      <c r="V1" s="4" t="s">
        <v>553</v>
      </c>
      <c r="W1" s="4" t="s">
        <v>554</v>
      </c>
      <c r="X1" s="4" t="s">
        <v>19</v>
      </c>
    </row>
    <row r="2" customFormat="false" ht="15" hidden="false" customHeight="false" outlineLevel="0" collapsed="false">
      <c r="A2" s="5" t="str">
        <f aca="false">Combined_Scenarios!A2</f>
        <v>S001</v>
      </c>
      <c r="B2" s="5" t="n">
        <f aca="false">0.5+Combined_Scenarios!AA2*10</f>
        <v>0.916666666666667</v>
      </c>
      <c r="C2" s="5" t="n">
        <f aca="false">0.33*B2*Combined_Scenarios!Z2</f>
        <v>6.534</v>
      </c>
      <c r="D2" s="5" t="n">
        <f aca="false">Combined_Scenarios!W2*Combined_Scenarios!X2</f>
        <v>5.26573998364677</v>
      </c>
      <c r="E2" s="5" t="n">
        <f aca="false">C2+D2</f>
        <v>11.7997399836468</v>
      </c>
      <c r="F2" s="5" t="n">
        <f aca="false">0.5*Combined_Scenarios!Y2</f>
        <v>0.6</v>
      </c>
      <c r="G2" s="5" t="n">
        <f aca="false">Combined_Scenarios!K2*F2</f>
        <v>100</v>
      </c>
      <c r="H2" s="5" t="n">
        <f aca="false">Combined_Scenarios!H2+IF(E2=0,0,G2/E2)</f>
        <v>0.474763014997766</v>
      </c>
      <c r="I2" s="5" t="n">
        <f aca="false">H2-Combined_Scenarios!H2</f>
        <v>8.47476301499777</v>
      </c>
      <c r="J2" s="5" t="n">
        <f aca="false">E2*I2</f>
        <v>100</v>
      </c>
      <c r="K2" s="5" t="n">
        <f aca="false">0.31*Combined_Scenarios!H2+17.8</f>
        <v>15.32</v>
      </c>
      <c r="L2" s="5" t="n">
        <f aca="false">H2-K2</f>
        <v>-14.8452369850022</v>
      </c>
      <c r="M2" s="5" t="str">
        <f aca="false">IF(AND(H2&gt;=12,H2&lt;=35),"Within safe range","Outside safe range")</f>
        <v>Outside safe range</v>
      </c>
      <c r="N2" s="5" t="n">
        <f aca="false">MAX(0,100-ABS(L2)*8)</f>
        <v>0</v>
      </c>
      <c r="O2" s="5" t="n">
        <f aca="false">MAX(-3,MIN(3,L2/3))</f>
        <v>-3</v>
      </c>
      <c r="P2" s="5" t="n">
        <f aca="false">100-95*EXP(-(0.03353*O2^4+0.2179*O2^2))</f>
        <v>99.1158717152693</v>
      </c>
      <c r="Q2" s="5" t="n">
        <f aca="false">IF(H2&lt;18,E2*(18-H2),0)</f>
        <v>206.793239574816</v>
      </c>
      <c r="R2" s="5" t="n">
        <f aca="false">IF(H2&gt;26,E2*(H2-26),0)</f>
        <v>0</v>
      </c>
      <c r="S2" s="5" t="n">
        <f aca="false">Q2+R2</f>
        <v>206.793239574816</v>
      </c>
      <c r="T2" s="5" t="n">
        <f aca="false">MAX(0,100-S2/5)</f>
        <v>58.6413520850368</v>
      </c>
      <c r="U2" s="5" t="n">
        <f aca="false">(N2+T2)/2</f>
        <v>29.3206760425184</v>
      </c>
      <c r="V2" s="5" t="str">
        <f aca="false">IF(U2&gt;=60,"Recommended","Not Recommended")</f>
        <v>Not Recommended</v>
      </c>
      <c r="W2" s="5" t="str">
        <f aca="false">IF(Q2&gt;0,"Increase insulation thickness or reduce opening area to cut heat loss",IF(R2&gt;0,"Increase shading/ventilation or reduce solar-facing openings to cut heat gain","Design meets estimated comfort band without major changes"))</f>
        <v>Increase insulation thickness or reduce opening area to cut heat loss</v>
      </c>
      <c r="X2" s="5" t="s">
        <v>555</v>
      </c>
    </row>
    <row r="3" customFormat="false" ht="15" hidden="false" customHeight="false" outlineLevel="0" collapsed="false">
      <c r="A3" s="5" t="str">
        <f aca="false">Combined_Scenarios!A3</f>
        <v>S002</v>
      </c>
      <c r="B3" s="5" t="n">
        <f aca="false">0.5+Combined_Scenarios!AA3*10</f>
        <v>0.916666666666667</v>
      </c>
      <c r="C3" s="5" t="n">
        <f aca="false">0.33*B3*Combined_Scenarios!Z3</f>
        <v>6.534</v>
      </c>
      <c r="D3" s="5" t="n">
        <f aca="false">Combined_Scenarios!W3*Combined_Scenarios!X3</f>
        <v>5.26573998364677</v>
      </c>
      <c r="E3" s="5" t="n">
        <f aca="false">C3+D3</f>
        <v>11.7997399836468</v>
      </c>
      <c r="F3" s="5" t="n">
        <f aca="false">0.5*Combined_Scenarios!Y3</f>
        <v>0.6</v>
      </c>
      <c r="G3" s="5" t="n">
        <f aca="false">Combined_Scenarios!K3*F3</f>
        <v>162.5</v>
      </c>
      <c r="H3" s="5" t="n">
        <f aca="false">Combined_Scenarios!H3+IF(E3=0,0,G3/E3)</f>
        <v>20.7714898993714</v>
      </c>
      <c r="I3" s="5" t="n">
        <f aca="false">H3-Combined_Scenarios!H3</f>
        <v>13.7714898993714</v>
      </c>
      <c r="J3" s="5" t="n">
        <f aca="false">E3*I3</f>
        <v>162.5</v>
      </c>
      <c r="K3" s="5" t="n">
        <f aca="false">0.31*Combined_Scenarios!H3+17.8</f>
        <v>19.97</v>
      </c>
      <c r="L3" s="5" t="n">
        <f aca="false">H3-K3</f>
        <v>0.801489899371369</v>
      </c>
      <c r="M3" s="5" t="str">
        <f aca="false">IF(AND(H3&gt;=12,H3&lt;=35),"Within safe range","Outside safe range")</f>
        <v>Within safe range</v>
      </c>
      <c r="N3" s="5" t="n">
        <f aca="false">MAX(0,100-ABS(L3)*8)</f>
        <v>93.5880808050291</v>
      </c>
      <c r="O3" s="5" t="n">
        <f aca="false">MAX(-3,MIN(3,L3/3))</f>
        <v>0.267163299790456</v>
      </c>
      <c r="P3" s="5" t="n">
        <f aca="false">100-95*EXP(-(0.03353*O3^4+0.2179*O3^2))</f>
        <v>6.48206925748715</v>
      </c>
      <c r="Q3" s="5" t="n">
        <f aca="false">IF(H3&lt;18,E3*(18-H3),0)</f>
        <v>0</v>
      </c>
      <c r="R3" s="5" t="n">
        <f aca="false">IF(H3&gt;26,E3*(H3-26),0)</f>
        <v>0</v>
      </c>
      <c r="S3" s="5" t="n">
        <f aca="false">Q3+R3</f>
        <v>0</v>
      </c>
      <c r="T3" s="5" t="n">
        <f aca="false">MAX(0,100-S3/5)</f>
        <v>100</v>
      </c>
      <c r="U3" s="5" t="n">
        <f aca="false">(N3+T3)/2</f>
        <v>96.7940404025145</v>
      </c>
      <c r="V3" s="5" t="str">
        <f aca="false">IF(U3&gt;=60,"Recommended","Not Recommended")</f>
        <v>Recommended</v>
      </c>
      <c r="W3" s="5" t="str">
        <f aca="false">IF(Q3&gt;0,"Increase insulation thickness or reduce opening area to cut heat loss",IF(R3&gt;0,"Increase shading/ventilation or reduce solar-facing openings to cut heat gain","Design meets estimated comfort band without major changes"))</f>
        <v>Design meets estimated comfort band without major changes</v>
      </c>
      <c r="X3" s="5" t="s">
        <v>555</v>
      </c>
    </row>
    <row r="4" customFormat="false" ht="15" hidden="false" customHeight="false" outlineLevel="0" collapsed="false">
      <c r="A4" s="5" t="str">
        <f aca="false">Combined_Scenarios!A4</f>
        <v>S003</v>
      </c>
      <c r="B4" s="5" t="n">
        <f aca="false">0.5+Combined_Scenarios!AA4*10</f>
        <v>0.916666666666667</v>
      </c>
      <c r="C4" s="5" t="n">
        <f aca="false">0.33*B4*Combined_Scenarios!Z4</f>
        <v>6.534</v>
      </c>
      <c r="D4" s="5" t="n">
        <f aca="false">Combined_Scenarios!W4*Combined_Scenarios!X4</f>
        <v>5.26573998364677</v>
      </c>
      <c r="E4" s="5" t="n">
        <f aca="false">C4+D4</f>
        <v>11.7997399836468</v>
      </c>
      <c r="F4" s="5" t="n">
        <f aca="false">0.5*Combined_Scenarios!Y4</f>
        <v>0.6</v>
      </c>
      <c r="G4" s="5" t="n">
        <f aca="false">Combined_Scenarios!K4*F4</f>
        <v>170</v>
      </c>
      <c r="H4" s="5" t="n">
        <f aca="false">Combined_Scenarios!H4+IF(E4=0,0,G4/E4)</f>
        <v>33.4070971254962</v>
      </c>
      <c r="I4" s="5" t="n">
        <f aca="false">H4-Combined_Scenarios!H4</f>
        <v>14.4070971254962</v>
      </c>
      <c r="J4" s="5" t="n">
        <f aca="false">E4*I4</f>
        <v>170</v>
      </c>
      <c r="K4" s="5" t="n">
        <f aca="false">0.31*Combined_Scenarios!H4+17.8</f>
        <v>23.69</v>
      </c>
      <c r="L4" s="5" t="n">
        <f aca="false">H4-K4</f>
        <v>9.7170971254962</v>
      </c>
      <c r="M4" s="5" t="str">
        <f aca="false">IF(AND(H4&gt;=12,H4&lt;=35),"Within safe range","Outside safe range")</f>
        <v>Within safe range</v>
      </c>
      <c r="N4" s="5" t="n">
        <f aca="false">MAX(0,100-ABS(L4)*8)</f>
        <v>22.2632229960304</v>
      </c>
      <c r="O4" s="5" t="n">
        <f aca="false">MAX(-3,MIN(3,L4/3))</f>
        <v>3</v>
      </c>
      <c r="P4" s="5" t="n">
        <f aca="false">100-95*EXP(-(0.03353*O4^4+0.2179*O4^2))</f>
        <v>99.1158717152693</v>
      </c>
      <c r="Q4" s="5" t="n">
        <f aca="false">IF(H4&lt;18,E4*(18-H4),0)</f>
        <v>0</v>
      </c>
      <c r="R4" s="5" t="n">
        <f aca="false">IF(H4&gt;26,E4*(H4-26),0)</f>
        <v>87.4018201144726</v>
      </c>
      <c r="S4" s="5" t="n">
        <f aca="false">Q4+R4</f>
        <v>87.4018201144726</v>
      </c>
      <c r="T4" s="5" t="n">
        <f aca="false">MAX(0,100-S4/5)</f>
        <v>82.5196359771055</v>
      </c>
      <c r="U4" s="5" t="n">
        <f aca="false">(N4+T4)/2</f>
        <v>52.3914294865679</v>
      </c>
      <c r="V4" s="5" t="str">
        <f aca="false">IF(U4&gt;=60,"Recommended","Not Recommended")</f>
        <v>Not Recommended</v>
      </c>
      <c r="W4" s="5" t="str">
        <f aca="false">IF(Q4&gt;0,"Increase insulation thickness or reduce opening area to cut heat loss",IF(R4&gt;0,"Increase shading/ventilation or reduce solar-facing openings to cut heat gain","Design meets estimated comfort band without major changes"))</f>
        <v>Increase shading/ventilation or reduce solar-facing openings to cut heat gain</v>
      </c>
      <c r="X4" s="5" t="s">
        <v>555</v>
      </c>
    </row>
    <row r="5" customFormat="false" ht="15" hidden="false" customHeight="false" outlineLevel="0" collapsed="false">
      <c r="A5" s="5" t="str">
        <f aca="false">Combined_Scenarios!A5</f>
        <v>S004</v>
      </c>
      <c r="B5" s="5" t="n">
        <f aca="false">0.5+Combined_Scenarios!AA5*10</f>
        <v>0.916666666666667</v>
      </c>
      <c r="C5" s="5" t="n">
        <f aca="false">0.33*B5*Combined_Scenarios!Z5</f>
        <v>6.534</v>
      </c>
      <c r="D5" s="5" t="n">
        <f aca="false">Combined_Scenarios!W5*Combined_Scenarios!X5</f>
        <v>5.26573998364677</v>
      </c>
      <c r="E5" s="5" t="n">
        <f aca="false">C5+D5</f>
        <v>11.7997399836468</v>
      </c>
      <c r="F5" s="5" t="n">
        <f aca="false">0.5*Combined_Scenarios!Y5</f>
        <v>0.6</v>
      </c>
      <c r="G5" s="5" t="n">
        <f aca="false">Combined_Scenarios!K5*F5</f>
        <v>150</v>
      </c>
      <c r="H5" s="5" t="n">
        <f aca="false">Combined_Scenarios!H5+IF(E5=0,0,G5/E5)</f>
        <v>26.7121445224967</v>
      </c>
      <c r="I5" s="5" t="n">
        <f aca="false">H5-Combined_Scenarios!H5</f>
        <v>12.7121445224967</v>
      </c>
      <c r="J5" s="5" t="n">
        <f aca="false">E5*I5</f>
        <v>150</v>
      </c>
      <c r="K5" s="5" t="n">
        <f aca="false">0.31*Combined_Scenarios!H5+17.8</f>
        <v>22.14</v>
      </c>
      <c r="L5" s="5" t="n">
        <f aca="false">H5-K5</f>
        <v>4.57214452249665</v>
      </c>
      <c r="M5" s="5" t="str">
        <f aca="false">IF(AND(H5&gt;=12,H5&lt;=35),"Within safe range","Outside safe range")</f>
        <v>Within safe range</v>
      </c>
      <c r="N5" s="5" t="n">
        <f aca="false">MAX(0,100-ABS(L5)*8)</f>
        <v>63.4228438200268</v>
      </c>
      <c r="O5" s="5" t="n">
        <f aca="false">MAX(-3,MIN(3,L5/3))</f>
        <v>1.52404817416555</v>
      </c>
      <c r="P5" s="5" t="n">
        <f aca="false">100-95*EXP(-(0.03353*O5^4+0.2179*O5^2))</f>
        <v>52.2079241784132</v>
      </c>
      <c r="Q5" s="5" t="n">
        <f aca="false">IF(H5&lt;18,E5*(18-H5),0)</f>
        <v>0</v>
      </c>
      <c r="R5" s="5" t="n">
        <f aca="false">IF(H5&gt;26,E5*(H5-26),0)</f>
        <v>8.40312019623877</v>
      </c>
      <c r="S5" s="5" t="n">
        <f aca="false">Q5+R5</f>
        <v>8.40312019623877</v>
      </c>
      <c r="T5" s="5" t="n">
        <f aca="false">MAX(0,100-S5/5)</f>
        <v>98.3193759607522</v>
      </c>
      <c r="U5" s="5" t="n">
        <f aca="false">(N5+T5)/2</f>
        <v>80.8711098903895</v>
      </c>
      <c r="V5" s="5" t="str">
        <f aca="false">IF(U5&gt;=60,"Recommended","Not Recommended")</f>
        <v>Recommended</v>
      </c>
      <c r="W5" s="5" t="str">
        <f aca="false">IF(Q5&gt;0,"Increase insulation thickness or reduce opening area to cut heat loss",IF(R5&gt;0,"Increase shading/ventilation or reduce solar-facing openings to cut heat gain","Design meets estimated comfort band without major changes"))</f>
        <v>Increase shading/ventilation or reduce solar-facing openings to cut heat gain</v>
      </c>
      <c r="X5" s="5" t="s">
        <v>555</v>
      </c>
    </row>
    <row r="6" customFormat="false" ht="15" hidden="false" customHeight="false" outlineLevel="0" collapsed="false">
      <c r="A6" s="5" t="str">
        <f aca="false">Combined_Scenarios!A6</f>
        <v>S005</v>
      </c>
      <c r="B6" s="5" t="n">
        <f aca="false">0.5+Combined_Scenarios!AA6*10</f>
        <v>0.916666666666667</v>
      </c>
      <c r="C6" s="5" t="n">
        <f aca="false">0.33*B6*Combined_Scenarios!Z6</f>
        <v>6.534</v>
      </c>
      <c r="D6" s="5" t="n">
        <f aca="false">Combined_Scenarios!W6*Combined_Scenarios!X6</f>
        <v>5.26573998364677</v>
      </c>
      <c r="E6" s="5" t="n">
        <f aca="false">C6+D6</f>
        <v>11.7997399836468</v>
      </c>
      <c r="F6" s="5" t="n">
        <f aca="false">0.5*Combined_Scenarios!Y6</f>
        <v>0.6</v>
      </c>
      <c r="G6" s="5" t="n">
        <f aca="false">Combined_Scenarios!K6*F6</f>
        <v>105</v>
      </c>
      <c r="H6" s="5" t="n">
        <f aca="false">Combined_Scenarios!H6+IF(E6=0,0,G6/E6)</f>
        <v>7.89850116574766</v>
      </c>
      <c r="I6" s="5" t="n">
        <f aca="false">H6-Combined_Scenarios!H6</f>
        <v>8.89850116574766</v>
      </c>
      <c r="J6" s="5" t="n">
        <f aca="false">E6*I6</f>
        <v>105</v>
      </c>
      <c r="K6" s="5" t="n">
        <f aca="false">0.31*Combined_Scenarios!H6+17.8</f>
        <v>17.49</v>
      </c>
      <c r="L6" s="5" t="n">
        <f aca="false">H6-K6</f>
        <v>-9.59149883425235</v>
      </c>
      <c r="M6" s="5" t="str">
        <f aca="false">IF(AND(H6&gt;=12,H6&lt;=35),"Within safe range","Outside safe range")</f>
        <v>Outside safe range</v>
      </c>
      <c r="N6" s="5" t="n">
        <f aca="false">MAX(0,100-ABS(L6)*8)</f>
        <v>23.2680093259812</v>
      </c>
      <c r="O6" s="5" t="n">
        <f aca="false">MAX(-3,MIN(3,L6/3))</f>
        <v>-3</v>
      </c>
      <c r="P6" s="5" t="n">
        <f aca="false">100-95*EXP(-(0.03353*O6^4+0.2179*O6^2))</f>
        <v>99.1158717152693</v>
      </c>
      <c r="Q6" s="5" t="n">
        <f aca="false">IF(H6&lt;18,E6*(18-H6),0)</f>
        <v>119.195059689289</v>
      </c>
      <c r="R6" s="5" t="n">
        <f aca="false">IF(H6&gt;26,E6*(H6-26),0)</f>
        <v>0</v>
      </c>
      <c r="S6" s="5" t="n">
        <f aca="false">Q6+R6</f>
        <v>119.195059689289</v>
      </c>
      <c r="T6" s="5" t="n">
        <f aca="false">MAX(0,100-S6/5)</f>
        <v>76.1609880621423</v>
      </c>
      <c r="U6" s="5" t="n">
        <f aca="false">(N6+T6)/2</f>
        <v>49.7144986940618</v>
      </c>
      <c r="V6" s="5" t="str">
        <f aca="false">IF(U6&gt;=60,"Recommended","Not Recommended")</f>
        <v>Not Recommended</v>
      </c>
      <c r="W6" s="5" t="str">
        <f aca="false">IF(Q6&gt;0,"Increase insulation thickness or reduce opening area to cut heat loss",IF(R6&gt;0,"Increase shading/ventilation or reduce solar-facing openings to cut heat gain","Design meets estimated comfort band without major changes"))</f>
        <v>Increase insulation thickness or reduce opening area to cut heat loss</v>
      </c>
      <c r="X6" s="5" t="s">
        <v>555</v>
      </c>
    </row>
    <row r="7" customFormat="false" ht="15" hidden="false" customHeight="false" outlineLevel="0" collapsed="false">
      <c r="A7" s="5" t="str">
        <f aca="false">Combined_Scenarios!A7</f>
        <v>S006</v>
      </c>
      <c r="B7" s="5" t="n">
        <f aca="false">0.5+Combined_Scenarios!AA7*10</f>
        <v>0.884615384615385</v>
      </c>
      <c r="C7" s="5" t="n">
        <f aca="false">0.33*B7*Combined_Scenarios!Z7</f>
        <v>15.18</v>
      </c>
      <c r="D7" s="5" t="n">
        <f aca="false">Combined_Scenarios!W7*Combined_Scenarios!X7</f>
        <v>8.58544562551104</v>
      </c>
      <c r="E7" s="5" t="n">
        <f aca="false">C7+D7</f>
        <v>23.765445625511</v>
      </c>
      <c r="F7" s="5" t="n">
        <f aca="false">0.5*Combined_Scenarios!Y7</f>
        <v>0.9</v>
      </c>
      <c r="G7" s="5" t="n">
        <f aca="false">Combined_Scenarios!K7*F7</f>
        <v>150</v>
      </c>
      <c r="H7" s="5" t="n">
        <f aca="false">Combined_Scenarios!H7+IF(E7=0,0,G7/E7)</f>
        <v>-1.68831528077966</v>
      </c>
      <c r="I7" s="5" t="n">
        <f aca="false">H7-Combined_Scenarios!H7</f>
        <v>6.31168471922034</v>
      </c>
      <c r="J7" s="5" t="n">
        <f aca="false">E7*I7</f>
        <v>150</v>
      </c>
      <c r="K7" s="5" t="n">
        <f aca="false">0.31*Combined_Scenarios!H7+17.8</f>
        <v>15.32</v>
      </c>
      <c r="L7" s="5" t="n">
        <f aca="false">H7-K7</f>
        <v>-17.0083152807797</v>
      </c>
      <c r="M7" s="5" t="str">
        <f aca="false">IF(AND(H7&gt;=12,H7&lt;=35),"Within safe range","Outside safe range")</f>
        <v>Outside safe range</v>
      </c>
      <c r="N7" s="5" t="n">
        <f aca="false">MAX(0,100-ABS(L7)*8)</f>
        <v>0</v>
      </c>
      <c r="O7" s="5" t="n">
        <f aca="false">MAX(-3,MIN(3,L7/3))</f>
        <v>-3</v>
      </c>
      <c r="P7" s="5" t="n">
        <f aca="false">100-95*EXP(-(0.03353*O7^4+0.2179*O7^2))</f>
        <v>99.1158717152693</v>
      </c>
      <c r="Q7" s="5" t="n">
        <f aca="false">IF(H7&lt;18,E7*(18-H7),0)</f>
        <v>467.901586263287</v>
      </c>
      <c r="R7" s="5" t="n">
        <f aca="false">IF(H7&gt;26,E7*(H7-26),0)</f>
        <v>0</v>
      </c>
      <c r="S7" s="5" t="n">
        <f aca="false">Q7+R7</f>
        <v>467.901586263287</v>
      </c>
      <c r="T7" s="5" t="n">
        <f aca="false">MAX(0,100-S7/5)</f>
        <v>6.41968274734259</v>
      </c>
      <c r="U7" s="5" t="n">
        <f aca="false">(N7+T7)/2</f>
        <v>3.2098413736713</v>
      </c>
      <c r="V7" s="5" t="str">
        <f aca="false">IF(U7&gt;=60,"Recommended","Not Recommended")</f>
        <v>Not Recommended</v>
      </c>
      <c r="W7" s="5" t="str">
        <f aca="false">IF(Q7&gt;0,"Increase insulation thickness or reduce opening area to cut heat loss",IF(R7&gt;0,"Increase shading/ventilation or reduce solar-facing openings to cut heat gain","Design meets estimated comfort band without major changes"))</f>
        <v>Increase insulation thickness or reduce opening area to cut heat loss</v>
      </c>
      <c r="X7" s="5" t="s">
        <v>555</v>
      </c>
    </row>
    <row r="8" customFormat="false" ht="15" hidden="false" customHeight="false" outlineLevel="0" collapsed="false">
      <c r="A8" s="5" t="str">
        <f aca="false">Combined_Scenarios!A8</f>
        <v>S007</v>
      </c>
      <c r="B8" s="5" t="n">
        <f aca="false">0.5+Combined_Scenarios!AA8*10</f>
        <v>0.884615384615385</v>
      </c>
      <c r="C8" s="5" t="n">
        <f aca="false">0.33*B8*Combined_Scenarios!Z8</f>
        <v>15.18</v>
      </c>
      <c r="D8" s="5" t="n">
        <f aca="false">Combined_Scenarios!W8*Combined_Scenarios!X8</f>
        <v>8.58544562551104</v>
      </c>
      <c r="E8" s="5" t="n">
        <f aca="false">C8+D8</f>
        <v>23.765445625511</v>
      </c>
      <c r="F8" s="5" t="n">
        <f aca="false">0.5*Combined_Scenarios!Y8</f>
        <v>0.9</v>
      </c>
      <c r="G8" s="5" t="n">
        <f aca="false">Combined_Scenarios!K8*F8</f>
        <v>243.75</v>
      </c>
      <c r="H8" s="5" t="n">
        <f aca="false">Combined_Scenarios!H8+IF(E8=0,0,G8/E8)</f>
        <v>17.2564876687331</v>
      </c>
      <c r="I8" s="5" t="n">
        <f aca="false">H8-Combined_Scenarios!H8</f>
        <v>10.2564876687331</v>
      </c>
      <c r="J8" s="5" t="n">
        <f aca="false">E8*I8</f>
        <v>243.75</v>
      </c>
      <c r="K8" s="5" t="n">
        <f aca="false">0.31*Combined_Scenarios!H8+17.8</f>
        <v>19.97</v>
      </c>
      <c r="L8" s="5" t="n">
        <f aca="false">H8-K8</f>
        <v>-2.71351233126694</v>
      </c>
      <c r="M8" s="5" t="str">
        <f aca="false">IF(AND(H8&gt;=12,H8&lt;=35),"Within safe range","Outside safe range")</f>
        <v>Within safe range</v>
      </c>
      <c r="N8" s="5" t="n">
        <f aca="false">MAX(0,100-ABS(L8)*8)</f>
        <v>78.2919013498645</v>
      </c>
      <c r="O8" s="5" t="n">
        <f aca="false">MAX(-3,MIN(3,L8/3))</f>
        <v>-0.904504110422314</v>
      </c>
      <c r="P8" s="5" t="n">
        <f aca="false">100-95*EXP(-(0.03353*O8^4+0.2179*O8^2))</f>
        <v>22.2759963934157</v>
      </c>
      <c r="Q8" s="5" t="n">
        <f aca="false">IF(H8&lt;18,E8*(18-H8),0)</f>
        <v>17.6699018806215</v>
      </c>
      <c r="R8" s="5" t="n">
        <f aca="false">IF(H8&gt;26,E8*(H8-26),0)</f>
        <v>0</v>
      </c>
      <c r="S8" s="5" t="n">
        <f aca="false">Q8+R8</f>
        <v>17.6699018806215</v>
      </c>
      <c r="T8" s="5" t="n">
        <f aca="false">MAX(0,100-S8/5)</f>
        <v>96.4660196238757</v>
      </c>
      <c r="U8" s="5" t="n">
        <f aca="false">(N8+T8)/2</f>
        <v>87.3789604868701</v>
      </c>
      <c r="V8" s="5" t="str">
        <f aca="false">IF(U8&gt;=60,"Recommended","Not Recommended")</f>
        <v>Recommended</v>
      </c>
      <c r="W8" s="5" t="str">
        <f aca="false">IF(Q8&gt;0,"Increase insulation thickness or reduce opening area to cut heat loss",IF(R8&gt;0,"Increase shading/ventilation or reduce solar-facing openings to cut heat gain","Design meets estimated comfort band without major changes"))</f>
        <v>Increase insulation thickness or reduce opening area to cut heat loss</v>
      </c>
      <c r="X8" s="5" t="s">
        <v>555</v>
      </c>
    </row>
    <row r="9" customFormat="false" ht="15" hidden="false" customHeight="false" outlineLevel="0" collapsed="false">
      <c r="A9" s="5" t="str">
        <f aca="false">Combined_Scenarios!A9</f>
        <v>S008</v>
      </c>
      <c r="B9" s="5" t="n">
        <f aca="false">0.5+Combined_Scenarios!AA9*10</f>
        <v>0.884615384615385</v>
      </c>
      <c r="C9" s="5" t="n">
        <f aca="false">0.33*B9*Combined_Scenarios!Z9</f>
        <v>15.18</v>
      </c>
      <c r="D9" s="5" t="n">
        <f aca="false">Combined_Scenarios!W9*Combined_Scenarios!X9</f>
        <v>8.58544562551104</v>
      </c>
      <c r="E9" s="5" t="n">
        <f aca="false">C9+D9</f>
        <v>23.765445625511</v>
      </c>
      <c r="F9" s="5" t="n">
        <f aca="false">0.5*Combined_Scenarios!Y9</f>
        <v>0.9</v>
      </c>
      <c r="G9" s="5" t="n">
        <f aca="false">Combined_Scenarios!K9*F9</f>
        <v>255</v>
      </c>
      <c r="H9" s="5" t="n">
        <f aca="false">Combined_Scenarios!H9+IF(E9=0,0,G9/E9)</f>
        <v>29.7298640226746</v>
      </c>
      <c r="I9" s="5" t="n">
        <f aca="false">H9-Combined_Scenarios!H9</f>
        <v>10.7298640226746</v>
      </c>
      <c r="J9" s="5" t="n">
        <f aca="false">E9*I9</f>
        <v>255</v>
      </c>
      <c r="K9" s="5" t="n">
        <f aca="false">0.31*Combined_Scenarios!H9+17.8</f>
        <v>23.69</v>
      </c>
      <c r="L9" s="5" t="n">
        <f aca="false">H9-K9</f>
        <v>6.03986402267458</v>
      </c>
      <c r="M9" s="5" t="str">
        <f aca="false">IF(AND(H9&gt;=12,H9&lt;=35),"Within safe range","Outside safe range")</f>
        <v>Within safe range</v>
      </c>
      <c r="N9" s="5" t="n">
        <f aca="false">MAX(0,100-ABS(L9)*8)</f>
        <v>51.6810878186033</v>
      </c>
      <c r="O9" s="5" t="n">
        <f aca="false">MAX(-3,MIN(3,L9/3))</f>
        <v>2.01328800755819</v>
      </c>
      <c r="P9" s="5" t="n">
        <f aca="false">100-95*EXP(-(0.03353*O9^4+0.2179*O9^2))</f>
        <v>77.3586842451218</v>
      </c>
      <c r="Q9" s="5" t="n">
        <f aca="false">IF(H9&lt;18,E9*(18-H9),0)</f>
        <v>0</v>
      </c>
      <c r="R9" s="5" t="n">
        <f aca="false">IF(H9&gt;26,E9*(H9-26),0)</f>
        <v>88.6418806214227</v>
      </c>
      <c r="S9" s="5" t="n">
        <f aca="false">Q9+R9</f>
        <v>88.6418806214227</v>
      </c>
      <c r="T9" s="5" t="n">
        <f aca="false">MAX(0,100-S9/5)</f>
        <v>82.2716238757155</v>
      </c>
      <c r="U9" s="5" t="n">
        <f aca="false">(N9+T9)/2</f>
        <v>66.9763558471594</v>
      </c>
      <c r="V9" s="5" t="str">
        <f aca="false">IF(U9&gt;=60,"Recommended","Not Recommended")</f>
        <v>Recommended</v>
      </c>
      <c r="W9" s="5" t="str">
        <f aca="false">IF(Q9&gt;0,"Increase insulation thickness or reduce opening area to cut heat loss",IF(R9&gt;0,"Increase shading/ventilation or reduce solar-facing openings to cut heat gain","Design meets estimated comfort band without major changes"))</f>
        <v>Increase shading/ventilation or reduce solar-facing openings to cut heat gain</v>
      </c>
      <c r="X9" s="5" t="s">
        <v>555</v>
      </c>
    </row>
    <row r="10" customFormat="false" ht="15" hidden="false" customHeight="false" outlineLevel="0" collapsed="false">
      <c r="A10" s="5" t="str">
        <f aca="false">Combined_Scenarios!A10</f>
        <v>S009</v>
      </c>
      <c r="B10" s="5" t="n">
        <f aca="false">0.5+Combined_Scenarios!AA10*10</f>
        <v>0.884615384615385</v>
      </c>
      <c r="C10" s="5" t="n">
        <f aca="false">0.33*B10*Combined_Scenarios!Z10</f>
        <v>15.18</v>
      </c>
      <c r="D10" s="5" t="n">
        <f aca="false">Combined_Scenarios!W10*Combined_Scenarios!X10</f>
        <v>8.58544562551104</v>
      </c>
      <c r="E10" s="5" t="n">
        <f aca="false">C10+D10</f>
        <v>23.765445625511</v>
      </c>
      <c r="F10" s="5" t="n">
        <f aca="false">0.5*Combined_Scenarios!Y10</f>
        <v>0.9</v>
      </c>
      <c r="G10" s="5" t="n">
        <f aca="false">Combined_Scenarios!K10*F10</f>
        <v>225</v>
      </c>
      <c r="H10" s="5" t="n">
        <f aca="false">Combined_Scenarios!H10+IF(E10=0,0,G10/E10)</f>
        <v>23.4675270788305</v>
      </c>
      <c r="I10" s="5" t="n">
        <f aca="false">H10-Combined_Scenarios!H10</f>
        <v>9.46752707883051</v>
      </c>
      <c r="J10" s="5" t="n">
        <f aca="false">E10*I10</f>
        <v>225</v>
      </c>
      <c r="K10" s="5" t="n">
        <f aca="false">0.31*Combined_Scenarios!H10+17.8</f>
        <v>22.14</v>
      </c>
      <c r="L10" s="5" t="n">
        <f aca="false">H10-K10</f>
        <v>1.32752707883051</v>
      </c>
      <c r="M10" s="5" t="str">
        <f aca="false">IF(AND(H10&gt;=12,H10&lt;=35),"Within safe range","Outside safe range")</f>
        <v>Within safe range</v>
      </c>
      <c r="N10" s="5" t="n">
        <f aca="false">MAX(0,100-ABS(L10)*8)</f>
        <v>89.3797833693559</v>
      </c>
      <c r="O10" s="5" t="n">
        <f aca="false">MAX(-3,MIN(3,L10/3))</f>
        <v>0.442509026276838</v>
      </c>
      <c r="P10" s="5" t="n">
        <f aca="false">100-95*EXP(-(0.03353*O10^4+0.2179*O10^2))</f>
        <v>9.08515301296603</v>
      </c>
      <c r="Q10" s="5" t="n">
        <f aca="false">IF(H10&lt;18,E10*(18-H10),0)</f>
        <v>0</v>
      </c>
      <c r="R10" s="5" t="n">
        <f aca="false">IF(H10&gt;26,E10*(H10-26),0)</f>
        <v>0</v>
      </c>
      <c r="S10" s="5" t="n">
        <f aca="false">Q10+R10</f>
        <v>0</v>
      </c>
      <c r="T10" s="5" t="n">
        <f aca="false">MAX(0,100-S10/5)</f>
        <v>100</v>
      </c>
      <c r="U10" s="5" t="n">
        <f aca="false">(N10+T10)/2</f>
        <v>94.689891684678</v>
      </c>
      <c r="V10" s="5" t="str">
        <f aca="false">IF(U10&gt;=60,"Recommended","Not Recommended")</f>
        <v>Recommended</v>
      </c>
      <c r="W10" s="5" t="str">
        <f aca="false">IF(Q10&gt;0,"Increase insulation thickness or reduce opening area to cut heat loss",IF(R10&gt;0,"Increase shading/ventilation or reduce solar-facing openings to cut heat gain","Design meets estimated comfort band without major changes"))</f>
        <v>Design meets estimated comfort band without major changes</v>
      </c>
      <c r="X10" s="5" t="s">
        <v>555</v>
      </c>
    </row>
    <row r="11" customFormat="false" ht="15" hidden="false" customHeight="false" outlineLevel="0" collapsed="false">
      <c r="A11" s="5" t="str">
        <f aca="false">Combined_Scenarios!A11</f>
        <v>S010</v>
      </c>
      <c r="B11" s="5" t="n">
        <f aca="false">0.5+Combined_Scenarios!AA11*10</f>
        <v>0.884615384615385</v>
      </c>
      <c r="C11" s="5" t="n">
        <f aca="false">0.33*B11*Combined_Scenarios!Z11</f>
        <v>15.18</v>
      </c>
      <c r="D11" s="5" t="n">
        <f aca="false">Combined_Scenarios!W11*Combined_Scenarios!X11</f>
        <v>8.58544562551104</v>
      </c>
      <c r="E11" s="5" t="n">
        <f aca="false">C11+D11</f>
        <v>23.765445625511</v>
      </c>
      <c r="F11" s="5" t="n">
        <f aca="false">0.5*Combined_Scenarios!Y11</f>
        <v>0.9</v>
      </c>
      <c r="G11" s="5" t="n">
        <f aca="false">Combined_Scenarios!K11*F11</f>
        <v>157.5</v>
      </c>
      <c r="H11" s="5" t="n">
        <f aca="false">Combined_Scenarios!H11+IF(E11=0,0,G11/E11)</f>
        <v>5.62726895518136</v>
      </c>
      <c r="I11" s="5" t="n">
        <f aca="false">H11-Combined_Scenarios!H11</f>
        <v>6.62726895518136</v>
      </c>
      <c r="J11" s="5" t="n">
        <f aca="false">E11*I11</f>
        <v>157.5</v>
      </c>
      <c r="K11" s="5" t="n">
        <f aca="false">0.31*Combined_Scenarios!H11+17.8</f>
        <v>17.49</v>
      </c>
      <c r="L11" s="5" t="n">
        <f aca="false">H11-K11</f>
        <v>-11.8627310448186</v>
      </c>
      <c r="M11" s="5" t="str">
        <f aca="false">IF(AND(H11&gt;=12,H11&lt;=35),"Within safe range","Outside safe range")</f>
        <v>Outside safe range</v>
      </c>
      <c r="N11" s="5" t="n">
        <f aca="false">MAX(0,100-ABS(L11)*8)</f>
        <v>5.09815164145087</v>
      </c>
      <c r="O11" s="5" t="n">
        <f aca="false">MAX(-3,MIN(3,L11/3))</f>
        <v>-3</v>
      </c>
      <c r="P11" s="5" t="n">
        <f aca="false">100-95*EXP(-(0.03353*O11^4+0.2179*O11^2))</f>
        <v>99.1158717152693</v>
      </c>
      <c r="Q11" s="5" t="n">
        <f aca="false">IF(H11&lt;18,E11*(18-H11),0)</f>
        <v>294.04346688471</v>
      </c>
      <c r="R11" s="5" t="n">
        <f aca="false">IF(H11&gt;26,E11*(H11-26),0)</f>
        <v>0</v>
      </c>
      <c r="S11" s="5" t="n">
        <f aca="false">Q11+R11</f>
        <v>294.04346688471</v>
      </c>
      <c r="T11" s="5" t="n">
        <f aca="false">MAX(0,100-S11/5)</f>
        <v>41.191306623058</v>
      </c>
      <c r="U11" s="5" t="n">
        <f aca="false">(N11+T11)/2</f>
        <v>23.1447291322545</v>
      </c>
      <c r="V11" s="5" t="str">
        <f aca="false">IF(U11&gt;=60,"Recommended","Not Recommended")</f>
        <v>Not Recommended</v>
      </c>
      <c r="W11" s="5" t="str">
        <f aca="false">IF(Q11&gt;0,"Increase insulation thickness or reduce opening area to cut heat loss",IF(R11&gt;0,"Increase shading/ventilation or reduce solar-facing openings to cut heat gain","Design meets estimated comfort band without major changes"))</f>
        <v>Increase insulation thickness or reduce opening area to cut heat loss</v>
      </c>
      <c r="X11" s="5" t="s">
        <v>555</v>
      </c>
    </row>
    <row r="12" customFormat="false" ht="15" hidden="false" customHeight="false" outlineLevel="0" collapsed="false">
      <c r="A12" s="5" t="str">
        <f aca="false">Combined_Scenarios!A12</f>
        <v>S011</v>
      </c>
      <c r="B12" s="5" t="n">
        <f aca="false">0.5+Combined_Scenarios!AA12*10</f>
        <v>0.916666666666667</v>
      </c>
      <c r="C12" s="5" t="n">
        <f aca="false">0.33*B12*Combined_Scenarios!Z12</f>
        <v>6.534</v>
      </c>
      <c r="D12" s="5" t="n">
        <f aca="false">Combined_Scenarios!W12*Combined_Scenarios!X12</f>
        <v>5.52947910704064</v>
      </c>
      <c r="E12" s="5" t="n">
        <f aca="false">C12+D12</f>
        <v>12.0634791070406</v>
      </c>
      <c r="F12" s="5" t="n">
        <f aca="false">0.5*Combined_Scenarios!Y12</f>
        <v>0.6</v>
      </c>
      <c r="G12" s="5" t="n">
        <f aca="false">Combined_Scenarios!K12*F12</f>
        <v>100</v>
      </c>
      <c r="H12" s="5" t="n">
        <f aca="false">Combined_Scenarios!H12+IF(E12=0,0,G12/E12)</f>
        <v>0.289482587294133</v>
      </c>
      <c r="I12" s="5" t="n">
        <f aca="false">H12-Combined_Scenarios!H12</f>
        <v>8.28948258729413</v>
      </c>
      <c r="J12" s="5" t="n">
        <f aca="false">E12*I12</f>
        <v>100</v>
      </c>
      <c r="K12" s="5" t="n">
        <f aca="false">0.31*Combined_Scenarios!H12+17.8</f>
        <v>15.32</v>
      </c>
      <c r="L12" s="5" t="n">
        <f aca="false">H12-K12</f>
        <v>-15.0305174127059</v>
      </c>
      <c r="M12" s="5" t="str">
        <f aca="false">IF(AND(H12&gt;=12,H12&lt;=35),"Within safe range","Outside safe range")</f>
        <v>Outside safe range</v>
      </c>
      <c r="N12" s="5" t="n">
        <f aca="false">MAX(0,100-ABS(L12)*8)</f>
        <v>0</v>
      </c>
      <c r="O12" s="5" t="n">
        <f aca="false">MAX(-3,MIN(3,L12/3))</f>
        <v>-3</v>
      </c>
      <c r="P12" s="5" t="n">
        <f aca="false">100-95*EXP(-(0.03353*O12^4+0.2179*O12^2))</f>
        <v>99.1158717152693</v>
      </c>
      <c r="Q12" s="5" t="n">
        <f aca="false">IF(H12&lt;18,E12*(18-H12),0)</f>
        <v>213.650456783057</v>
      </c>
      <c r="R12" s="5" t="n">
        <f aca="false">IF(H12&gt;26,E12*(H12-26),0)</f>
        <v>0</v>
      </c>
      <c r="S12" s="5" t="n">
        <f aca="false">Q12+R12</f>
        <v>213.650456783057</v>
      </c>
      <c r="T12" s="5" t="n">
        <f aca="false">MAX(0,100-S12/5)</f>
        <v>57.2699086433887</v>
      </c>
      <c r="U12" s="5" t="n">
        <f aca="false">(N12+T12)/2</f>
        <v>28.6349543216943</v>
      </c>
      <c r="V12" s="5" t="str">
        <f aca="false">IF(U12&gt;=60,"Recommended","Not Recommended")</f>
        <v>Not Recommended</v>
      </c>
      <c r="W12" s="5" t="str">
        <f aca="false">IF(Q12&gt;0,"Increase insulation thickness or reduce opening area to cut heat loss",IF(R12&gt;0,"Increase shading/ventilation or reduce solar-facing openings to cut heat gain","Design meets estimated comfort band without major changes"))</f>
        <v>Increase insulation thickness or reduce opening area to cut heat loss</v>
      </c>
      <c r="X12" s="5" t="s">
        <v>555</v>
      </c>
    </row>
    <row r="13" customFormat="false" ht="15" hidden="false" customHeight="false" outlineLevel="0" collapsed="false">
      <c r="A13" s="5" t="str">
        <f aca="false">Combined_Scenarios!A13</f>
        <v>S012</v>
      </c>
      <c r="B13" s="5" t="n">
        <f aca="false">0.5+Combined_Scenarios!AA13*10</f>
        <v>0.916666666666667</v>
      </c>
      <c r="C13" s="5" t="n">
        <f aca="false">0.33*B13*Combined_Scenarios!Z13</f>
        <v>6.534</v>
      </c>
      <c r="D13" s="5" t="n">
        <f aca="false">Combined_Scenarios!W13*Combined_Scenarios!X13</f>
        <v>5.52947910704064</v>
      </c>
      <c r="E13" s="5" t="n">
        <f aca="false">C13+D13</f>
        <v>12.0634791070406</v>
      </c>
      <c r="F13" s="5" t="n">
        <f aca="false">0.5*Combined_Scenarios!Y13</f>
        <v>0.6</v>
      </c>
      <c r="G13" s="5" t="n">
        <f aca="false">Combined_Scenarios!K13*F13</f>
        <v>162.5</v>
      </c>
      <c r="H13" s="5" t="n">
        <f aca="false">Combined_Scenarios!H13+IF(E13=0,0,G13/E13)</f>
        <v>20.470409204353</v>
      </c>
      <c r="I13" s="5" t="n">
        <f aca="false">H13-Combined_Scenarios!H13</f>
        <v>13.470409204353</v>
      </c>
      <c r="J13" s="5" t="n">
        <f aca="false">E13*I13</f>
        <v>162.5</v>
      </c>
      <c r="K13" s="5" t="n">
        <f aca="false">0.31*Combined_Scenarios!H13+17.8</f>
        <v>19.97</v>
      </c>
      <c r="L13" s="5" t="n">
        <f aca="false">H13-K13</f>
        <v>0.50040920435297</v>
      </c>
      <c r="M13" s="5" t="str">
        <f aca="false">IF(AND(H13&gt;=12,H13&lt;=35),"Within safe range","Outside safe range")</f>
        <v>Within safe range</v>
      </c>
      <c r="N13" s="5" t="n">
        <f aca="false">MAX(0,100-ABS(L13)*8)</f>
        <v>95.9967263651762</v>
      </c>
      <c r="O13" s="5" t="n">
        <f aca="false">MAX(-3,MIN(3,L13/3))</f>
        <v>0.166803068117657</v>
      </c>
      <c r="P13" s="5" t="n">
        <f aca="false">100-95*EXP(-(0.03353*O13^4+0.2179*O13^2))</f>
        <v>5.57666402150682</v>
      </c>
      <c r="Q13" s="5" t="n">
        <f aca="false">IF(H13&lt;18,E13*(18-H13),0)</f>
        <v>0</v>
      </c>
      <c r="R13" s="5" t="n">
        <f aca="false">IF(H13&gt;26,E13*(H13-26),0)</f>
        <v>0</v>
      </c>
      <c r="S13" s="5" t="n">
        <f aca="false">Q13+R13</f>
        <v>0</v>
      </c>
      <c r="T13" s="5" t="n">
        <f aca="false">MAX(0,100-S13/5)</f>
        <v>100</v>
      </c>
      <c r="U13" s="5" t="n">
        <f aca="false">(N13+T13)/2</f>
        <v>97.9983631825881</v>
      </c>
      <c r="V13" s="5" t="str">
        <f aca="false">IF(U13&gt;=60,"Recommended","Not Recommended")</f>
        <v>Recommended</v>
      </c>
      <c r="W13" s="5" t="str">
        <f aca="false">IF(Q13&gt;0,"Increase insulation thickness or reduce opening area to cut heat loss",IF(R13&gt;0,"Increase shading/ventilation or reduce solar-facing openings to cut heat gain","Design meets estimated comfort band without major changes"))</f>
        <v>Design meets estimated comfort band without major changes</v>
      </c>
      <c r="X13" s="5" t="s">
        <v>555</v>
      </c>
    </row>
    <row r="14" customFormat="false" ht="15" hidden="false" customHeight="false" outlineLevel="0" collapsed="false">
      <c r="A14" s="5" t="str">
        <f aca="false">Combined_Scenarios!A14</f>
        <v>S013</v>
      </c>
      <c r="B14" s="5" t="n">
        <f aca="false">0.5+Combined_Scenarios!AA14*10</f>
        <v>0.916666666666667</v>
      </c>
      <c r="C14" s="5" t="n">
        <f aca="false">0.33*B14*Combined_Scenarios!Z14</f>
        <v>6.534</v>
      </c>
      <c r="D14" s="5" t="n">
        <f aca="false">Combined_Scenarios!W14*Combined_Scenarios!X14</f>
        <v>5.52947910704064</v>
      </c>
      <c r="E14" s="5" t="n">
        <f aca="false">C14+D14</f>
        <v>12.0634791070406</v>
      </c>
      <c r="F14" s="5" t="n">
        <f aca="false">0.5*Combined_Scenarios!Y14</f>
        <v>0.6</v>
      </c>
      <c r="G14" s="5" t="n">
        <f aca="false">Combined_Scenarios!K14*F14</f>
        <v>170</v>
      </c>
      <c r="H14" s="5" t="n">
        <f aca="false">Combined_Scenarios!H14+IF(E14=0,0,G14/E14)</f>
        <v>33.0921203984</v>
      </c>
      <c r="I14" s="5" t="n">
        <f aca="false">H14-Combined_Scenarios!H14</f>
        <v>14.0921203984</v>
      </c>
      <c r="J14" s="5" t="n">
        <f aca="false">E14*I14</f>
        <v>170</v>
      </c>
      <c r="K14" s="5" t="n">
        <f aca="false">0.31*Combined_Scenarios!H14+17.8</f>
        <v>23.69</v>
      </c>
      <c r="L14" s="5" t="n">
        <f aca="false">H14-K14</f>
        <v>9.40212039840003</v>
      </c>
      <c r="M14" s="5" t="str">
        <f aca="false">IF(AND(H14&gt;=12,H14&lt;=35),"Within safe range","Outside safe range")</f>
        <v>Within safe range</v>
      </c>
      <c r="N14" s="5" t="n">
        <f aca="false">MAX(0,100-ABS(L14)*8)</f>
        <v>24.7830368127998</v>
      </c>
      <c r="O14" s="5" t="n">
        <f aca="false">MAX(-3,MIN(3,L14/3))</f>
        <v>3</v>
      </c>
      <c r="P14" s="5" t="n">
        <f aca="false">100-95*EXP(-(0.03353*O14^4+0.2179*O14^2))</f>
        <v>99.1158717152693</v>
      </c>
      <c r="Q14" s="5" t="n">
        <f aca="false">IF(H14&lt;18,E14*(18-H14),0)</f>
        <v>0</v>
      </c>
      <c r="R14" s="5" t="n">
        <f aca="false">IF(H14&gt;26,E14*(H14-26),0)</f>
        <v>85.5556462507155</v>
      </c>
      <c r="S14" s="5" t="n">
        <f aca="false">Q14+R14</f>
        <v>85.5556462507155</v>
      </c>
      <c r="T14" s="5" t="n">
        <f aca="false">MAX(0,100-S14/5)</f>
        <v>82.8888707498569</v>
      </c>
      <c r="U14" s="5" t="n">
        <f aca="false">(N14+T14)/2</f>
        <v>53.8359537813284</v>
      </c>
      <c r="V14" s="5" t="str">
        <f aca="false">IF(U14&gt;=60,"Recommended","Not Recommended")</f>
        <v>Not Recommended</v>
      </c>
      <c r="W14" s="5" t="str">
        <f aca="false">IF(Q14&gt;0,"Increase insulation thickness or reduce opening area to cut heat loss",IF(R14&gt;0,"Increase shading/ventilation or reduce solar-facing openings to cut heat gain","Design meets estimated comfort band without major changes"))</f>
        <v>Increase shading/ventilation or reduce solar-facing openings to cut heat gain</v>
      </c>
      <c r="X14" s="5" t="s">
        <v>555</v>
      </c>
    </row>
    <row r="15" customFormat="false" ht="15" hidden="false" customHeight="false" outlineLevel="0" collapsed="false">
      <c r="A15" s="5" t="str">
        <f aca="false">Combined_Scenarios!A15</f>
        <v>S014</v>
      </c>
      <c r="B15" s="5" t="n">
        <f aca="false">0.5+Combined_Scenarios!AA15*10</f>
        <v>0.916666666666667</v>
      </c>
      <c r="C15" s="5" t="n">
        <f aca="false">0.33*B15*Combined_Scenarios!Z15</f>
        <v>6.534</v>
      </c>
      <c r="D15" s="5" t="n">
        <f aca="false">Combined_Scenarios!W15*Combined_Scenarios!X15</f>
        <v>5.52947910704064</v>
      </c>
      <c r="E15" s="5" t="n">
        <f aca="false">C15+D15</f>
        <v>12.0634791070406</v>
      </c>
      <c r="F15" s="5" t="n">
        <f aca="false">0.5*Combined_Scenarios!Y15</f>
        <v>0.6</v>
      </c>
      <c r="G15" s="5" t="n">
        <f aca="false">Combined_Scenarios!K15*F15</f>
        <v>150</v>
      </c>
      <c r="H15" s="5" t="n">
        <f aca="false">Combined_Scenarios!H15+IF(E15=0,0,G15/E15)</f>
        <v>26.4342238809412</v>
      </c>
      <c r="I15" s="5" t="n">
        <f aca="false">H15-Combined_Scenarios!H15</f>
        <v>12.4342238809412</v>
      </c>
      <c r="J15" s="5" t="n">
        <f aca="false">E15*I15</f>
        <v>150</v>
      </c>
      <c r="K15" s="5" t="n">
        <f aca="false">0.31*Combined_Scenarios!H15+17.8</f>
        <v>22.14</v>
      </c>
      <c r="L15" s="5" t="n">
        <f aca="false">H15-K15</f>
        <v>4.2942238809412</v>
      </c>
      <c r="M15" s="5" t="str">
        <f aca="false">IF(AND(H15&gt;=12,H15&lt;=35),"Within safe range","Outside safe range")</f>
        <v>Within safe range</v>
      </c>
      <c r="N15" s="5" t="n">
        <f aca="false">MAX(0,100-ABS(L15)*8)</f>
        <v>65.6462089524704</v>
      </c>
      <c r="O15" s="5" t="n">
        <f aca="false">MAX(-3,MIN(3,L15/3))</f>
        <v>1.43140796031373</v>
      </c>
      <c r="P15" s="5" t="n">
        <f aca="false">100-95*EXP(-(0.03353*O15^4+0.2179*O15^2))</f>
        <v>47.1925266266938</v>
      </c>
      <c r="Q15" s="5" t="n">
        <f aca="false">IF(H15&lt;18,E15*(18-H15),0)</f>
        <v>0</v>
      </c>
      <c r="R15" s="5" t="n">
        <f aca="false">IF(H15&gt;26,E15*(H15-26),0)</f>
        <v>5.23825071551232</v>
      </c>
      <c r="S15" s="5" t="n">
        <f aca="false">Q15+R15</f>
        <v>5.23825071551232</v>
      </c>
      <c r="T15" s="5" t="n">
        <f aca="false">MAX(0,100-S15/5)</f>
        <v>98.9523498568975</v>
      </c>
      <c r="U15" s="5" t="n">
        <f aca="false">(N15+T15)/2</f>
        <v>82.299279404684</v>
      </c>
      <c r="V15" s="5" t="str">
        <f aca="false">IF(U15&gt;=60,"Recommended","Not Recommended")</f>
        <v>Recommended</v>
      </c>
      <c r="W15" s="5" t="str">
        <f aca="false">IF(Q15&gt;0,"Increase insulation thickness or reduce opening area to cut heat loss",IF(R15&gt;0,"Increase shading/ventilation or reduce solar-facing openings to cut heat gain","Design meets estimated comfort band without major changes"))</f>
        <v>Increase shading/ventilation or reduce solar-facing openings to cut heat gain</v>
      </c>
      <c r="X15" s="5" t="s">
        <v>555</v>
      </c>
    </row>
    <row r="16" customFormat="false" ht="15" hidden="false" customHeight="false" outlineLevel="0" collapsed="false">
      <c r="A16" s="5" t="str">
        <f aca="false">Combined_Scenarios!A16</f>
        <v>S015</v>
      </c>
      <c r="B16" s="5" t="n">
        <f aca="false">0.5+Combined_Scenarios!AA16*10</f>
        <v>0.916666666666667</v>
      </c>
      <c r="C16" s="5" t="n">
        <f aca="false">0.33*B16*Combined_Scenarios!Z16</f>
        <v>6.534</v>
      </c>
      <c r="D16" s="5" t="n">
        <f aca="false">Combined_Scenarios!W16*Combined_Scenarios!X16</f>
        <v>5.52947910704064</v>
      </c>
      <c r="E16" s="5" t="n">
        <f aca="false">C16+D16</f>
        <v>12.0634791070406</v>
      </c>
      <c r="F16" s="5" t="n">
        <f aca="false">0.5*Combined_Scenarios!Y16</f>
        <v>0.6</v>
      </c>
      <c r="G16" s="5" t="n">
        <f aca="false">Combined_Scenarios!K16*F16</f>
        <v>105</v>
      </c>
      <c r="H16" s="5" t="n">
        <f aca="false">Combined_Scenarios!H16+IF(E16=0,0,G16/E16)</f>
        <v>7.70395671665884</v>
      </c>
      <c r="I16" s="5" t="n">
        <f aca="false">H16-Combined_Scenarios!H16</f>
        <v>8.70395671665884</v>
      </c>
      <c r="J16" s="5" t="n">
        <f aca="false">E16*I16</f>
        <v>105</v>
      </c>
      <c r="K16" s="5" t="n">
        <f aca="false">0.31*Combined_Scenarios!H16+17.8</f>
        <v>17.49</v>
      </c>
      <c r="L16" s="5" t="n">
        <f aca="false">H16-K16</f>
        <v>-9.78604328334116</v>
      </c>
      <c r="M16" s="5" t="str">
        <f aca="false">IF(AND(H16&gt;=12,H16&lt;=35),"Within safe range","Outside safe range")</f>
        <v>Outside safe range</v>
      </c>
      <c r="N16" s="5" t="n">
        <f aca="false">MAX(0,100-ABS(L16)*8)</f>
        <v>21.7116537332707</v>
      </c>
      <c r="O16" s="5" t="n">
        <f aca="false">MAX(-3,MIN(3,L16/3))</f>
        <v>-3</v>
      </c>
      <c r="P16" s="5" t="n">
        <f aca="false">100-95*EXP(-(0.03353*O16^4+0.2179*O16^2))</f>
        <v>99.1158717152693</v>
      </c>
      <c r="Q16" s="5" t="n">
        <f aca="false">IF(H16&lt;18,E16*(18-H16),0)</f>
        <v>124.206103033772</v>
      </c>
      <c r="R16" s="5" t="n">
        <f aca="false">IF(H16&gt;26,E16*(H16-26),0)</f>
        <v>0</v>
      </c>
      <c r="S16" s="5" t="n">
        <f aca="false">Q16+R16</f>
        <v>124.206103033772</v>
      </c>
      <c r="T16" s="5" t="n">
        <f aca="false">MAX(0,100-S16/5)</f>
        <v>75.1587793932456</v>
      </c>
      <c r="U16" s="5" t="n">
        <f aca="false">(N16+T16)/2</f>
        <v>48.4352165632581</v>
      </c>
      <c r="V16" s="5" t="str">
        <f aca="false">IF(U16&gt;=60,"Recommended","Not Recommended")</f>
        <v>Not Recommended</v>
      </c>
      <c r="W16" s="5" t="str">
        <f aca="false">IF(Q16&gt;0,"Increase insulation thickness or reduce opening area to cut heat loss",IF(R16&gt;0,"Increase shading/ventilation or reduce solar-facing openings to cut heat gain","Design meets estimated comfort band without major changes"))</f>
        <v>Increase insulation thickness or reduce opening area to cut heat loss</v>
      </c>
      <c r="X16" s="5" t="s">
        <v>555</v>
      </c>
    </row>
    <row r="17" customFormat="false" ht="15" hidden="false" customHeight="false" outlineLevel="0" collapsed="false">
      <c r="A17" s="5" t="str">
        <f aca="false">Combined_Scenarios!A17</f>
        <v>S016</v>
      </c>
      <c r="B17" s="5" t="n">
        <f aca="false">0.5+Combined_Scenarios!AA17*10</f>
        <v>0.884615384615385</v>
      </c>
      <c r="C17" s="5" t="n">
        <f aca="false">0.33*B17*Combined_Scenarios!Z17</f>
        <v>15.18</v>
      </c>
      <c r="D17" s="5" t="n">
        <f aca="false">Combined_Scenarios!W17*Combined_Scenarios!X17</f>
        <v>9.01545506582714</v>
      </c>
      <c r="E17" s="5" t="n">
        <f aca="false">C17+D17</f>
        <v>24.1954550658271</v>
      </c>
      <c r="F17" s="5" t="n">
        <f aca="false">0.5*Combined_Scenarios!Y17</f>
        <v>0.9</v>
      </c>
      <c r="G17" s="5" t="n">
        <f aca="false">Combined_Scenarios!K17*F17</f>
        <v>150</v>
      </c>
      <c r="H17" s="5" t="n">
        <f aca="false">Combined_Scenarios!H17+IF(E17=0,0,G17/E17)</f>
        <v>-1.80048857969797</v>
      </c>
      <c r="I17" s="5" t="n">
        <f aca="false">H17-Combined_Scenarios!H17</f>
        <v>6.19951142030203</v>
      </c>
      <c r="J17" s="5" t="n">
        <f aca="false">E17*I17</f>
        <v>150</v>
      </c>
      <c r="K17" s="5" t="n">
        <f aca="false">0.31*Combined_Scenarios!H17+17.8</f>
        <v>15.32</v>
      </c>
      <c r="L17" s="5" t="n">
        <f aca="false">H17-K17</f>
        <v>-17.120488579698</v>
      </c>
      <c r="M17" s="5" t="str">
        <f aca="false">IF(AND(H17&gt;=12,H17&lt;=35),"Within safe range","Outside safe range")</f>
        <v>Outside safe range</v>
      </c>
      <c r="N17" s="5" t="n">
        <f aca="false">MAX(0,100-ABS(L17)*8)</f>
        <v>0</v>
      </c>
      <c r="O17" s="5" t="n">
        <f aca="false">MAX(-3,MIN(3,L17/3))</f>
        <v>-3</v>
      </c>
      <c r="P17" s="5" t="n">
        <f aca="false">100-95*EXP(-(0.03353*O17^4+0.2179*O17^2))</f>
        <v>99.1158717152693</v>
      </c>
      <c r="Q17" s="5" t="n">
        <f aca="false">IF(H17&lt;18,E17*(18-H17),0)</f>
        <v>479.081831711506</v>
      </c>
      <c r="R17" s="5" t="n">
        <f aca="false">IF(H17&gt;26,E17*(H17-26),0)</f>
        <v>0</v>
      </c>
      <c r="S17" s="5" t="n">
        <f aca="false">Q17+R17</f>
        <v>479.081831711506</v>
      </c>
      <c r="T17" s="5" t="n">
        <f aca="false">MAX(0,100-S17/5)</f>
        <v>4.18363365769889</v>
      </c>
      <c r="U17" s="5" t="n">
        <f aca="false">(N17+T17)/2</f>
        <v>2.09181682884945</v>
      </c>
      <c r="V17" s="5" t="str">
        <f aca="false">IF(U17&gt;=60,"Recommended","Not Recommended")</f>
        <v>Not Recommended</v>
      </c>
      <c r="W17" s="5" t="str">
        <f aca="false">IF(Q17&gt;0,"Increase insulation thickness or reduce opening area to cut heat loss",IF(R17&gt;0,"Increase shading/ventilation or reduce solar-facing openings to cut heat gain","Design meets estimated comfort band without major changes"))</f>
        <v>Increase insulation thickness or reduce opening area to cut heat loss</v>
      </c>
      <c r="X17" s="5" t="s">
        <v>555</v>
      </c>
    </row>
    <row r="18" customFormat="false" ht="15" hidden="false" customHeight="false" outlineLevel="0" collapsed="false">
      <c r="A18" s="5" t="str">
        <f aca="false">Combined_Scenarios!A18</f>
        <v>S017</v>
      </c>
      <c r="B18" s="5" t="n">
        <f aca="false">0.5+Combined_Scenarios!AA18*10</f>
        <v>0.884615384615385</v>
      </c>
      <c r="C18" s="5" t="n">
        <f aca="false">0.33*B18*Combined_Scenarios!Z18</f>
        <v>15.18</v>
      </c>
      <c r="D18" s="5" t="n">
        <f aca="false">Combined_Scenarios!W18*Combined_Scenarios!X18</f>
        <v>9.01545506582714</v>
      </c>
      <c r="E18" s="5" t="n">
        <f aca="false">C18+D18</f>
        <v>24.1954550658271</v>
      </c>
      <c r="F18" s="5" t="n">
        <f aca="false">0.5*Combined_Scenarios!Y18</f>
        <v>0.9</v>
      </c>
      <c r="G18" s="5" t="n">
        <f aca="false">Combined_Scenarios!K18*F18</f>
        <v>243.75</v>
      </c>
      <c r="H18" s="5" t="n">
        <f aca="false">Combined_Scenarios!H18+IF(E18=0,0,G18/E18)</f>
        <v>17.0742060579908</v>
      </c>
      <c r="I18" s="5" t="n">
        <f aca="false">H18-Combined_Scenarios!H18</f>
        <v>10.0742060579908</v>
      </c>
      <c r="J18" s="5" t="n">
        <f aca="false">E18*I18</f>
        <v>243.75</v>
      </c>
      <c r="K18" s="5" t="n">
        <f aca="false">0.31*Combined_Scenarios!H18+17.8</f>
        <v>19.97</v>
      </c>
      <c r="L18" s="5" t="n">
        <f aca="false">H18-K18</f>
        <v>-2.8957939420092</v>
      </c>
      <c r="M18" s="5" t="str">
        <f aca="false">IF(AND(H18&gt;=12,H18&lt;=35),"Within safe range","Outside safe range")</f>
        <v>Within safe range</v>
      </c>
      <c r="N18" s="5" t="n">
        <f aca="false">MAX(0,100-ABS(L18)*8)</f>
        <v>76.8336484639264</v>
      </c>
      <c r="O18" s="5" t="n">
        <f aca="false">MAX(-3,MIN(3,L18/3))</f>
        <v>-0.965264647336399</v>
      </c>
      <c r="P18" s="5" t="n">
        <f aca="false">100-95*EXP(-(0.03353*O18^4+0.2179*O18^2))</f>
        <v>24.6801887996127</v>
      </c>
      <c r="Q18" s="5" t="n">
        <f aca="false">IF(H18&lt;18,E18*(18-H18),0)</f>
        <v>22.4000057240985</v>
      </c>
      <c r="R18" s="5" t="n">
        <f aca="false">IF(H18&gt;26,E18*(H18-26),0)</f>
        <v>0</v>
      </c>
      <c r="S18" s="5" t="n">
        <f aca="false">Q18+R18</f>
        <v>22.4000057240985</v>
      </c>
      <c r="T18" s="5" t="n">
        <f aca="false">MAX(0,100-S18/5)</f>
        <v>95.5199988551803</v>
      </c>
      <c r="U18" s="5" t="n">
        <f aca="false">(N18+T18)/2</f>
        <v>86.1768236595534</v>
      </c>
      <c r="V18" s="5" t="str">
        <f aca="false">IF(U18&gt;=60,"Recommended","Not Recommended")</f>
        <v>Recommended</v>
      </c>
      <c r="W18" s="5" t="str">
        <f aca="false">IF(Q18&gt;0,"Increase insulation thickness or reduce opening area to cut heat loss",IF(R18&gt;0,"Increase shading/ventilation or reduce solar-facing openings to cut heat gain","Design meets estimated comfort band without major changes"))</f>
        <v>Increase insulation thickness or reduce opening area to cut heat loss</v>
      </c>
      <c r="X18" s="5" t="s">
        <v>555</v>
      </c>
    </row>
    <row r="19" customFormat="false" ht="15" hidden="false" customHeight="false" outlineLevel="0" collapsed="false">
      <c r="A19" s="5" t="str">
        <f aca="false">Combined_Scenarios!A19</f>
        <v>S018</v>
      </c>
      <c r="B19" s="5" t="n">
        <f aca="false">0.5+Combined_Scenarios!AA19*10</f>
        <v>0.884615384615385</v>
      </c>
      <c r="C19" s="5" t="n">
        <f aca="false">0.33*B19*Combined_Scenarios!Z19</f>
        <v>15.18</v>
      </c>
      <c r="D19" s="5" t="n">
        <f aca="false">Combined_Scenarios!W19*Combined_Scenarios!X19</f>
        <v>9.01545506582714</v>
      </c>
      <c r="E19" s="5" t="n">
        <f aca="false">C19+D19</f>
        <v>24.1954550658271</v>
      </c>
      <c r="F19" s="5" t="n">
        <f aca="false">0.5*Combined_Scenarios!Y19</f>
        <v>0.9</v>
      </c>
      <c r="G19" s="5" t="n">
        <f aca="false">Combined_Scenarios!K19*F19</f>
        <v>255</v>
      </c>
      <c r="H19" s="5" t="n">
        <f aca="false">Combined_Scenarios!H19+IF(E19=0,0,G19/E19)</f>
        <v>29.5391694145135</v>
      </c>
      <c r="I19" s="5" t="n">
        <f aca="false">H19-Combined_Scenarios!H19</f>
        <v>10.5391694145135</v>
      </c>
      <c r="J19" s="5" t="n">
        <f aca="false">E19*I19</f>
        <v>255</v>
      </c>
      <c r="K19" s="5" t="n">
        <f aca="false">0.31*Combined_Scenarios!H19+17.8</f>
        <v>23.69</v>
      </c>
      <c r="L19" s="5" t="n">
        <f aca="false">H19-K19</f>
        <v>5.84916941451345</v>
      </c>
      <c r="M19" s="5" t="str">
        <f aca="false">IF(AND(H19&gt;=12,H19&lt;=35),"Within safe range","Outside safe range")</f>
        <v>Within safe range</v>
      </c>
      <c r="N19" s="5" t="n">
        <f aca="false">MAX(0,100-ABS(L19)*8)</f>
        <v>53.2066446838924</v>
      </c>
      <c r="O19" s="5" t="n">
        <f aca="false">MAX(-3,MIN(3,L19/3))</f>
        <v>1.94972313817115</v>
      </c>
      <c r="P19" s="5" t="n">
        <f aca="false">100-95*EXP(-(0.03353*O19^4+0.2179*O19^2))</f>
        <v>74.4404199080869</v>
      </c>
      <c r="Q19" s="5" t="n">
        <f aca="false">IF(H19&lt;18,E19*(18-H19),0)</f>
        <v>0</v>
      </c>
      <c r="R19" s="5" t="n">
        <f aca="false">IF(H19&gt;26,E19*(H19-26),0)</f>
        <v>85.6318145392101</v>
      </c>
      <c r="S19" s="5" t="n">
        <f aca="false">Q19+R19</f>
        <v>85.6318145392101</v>
      </c>
      <c r="T19" s="5" t="n">
        <f aca="false">MAX(0,100-S19/5)</f>
        <v>82.873637092158</v>
      </c>
      <c r="U19" s="5" t="n">
        <f aca="false">(N19+T19)/2</f>
        <v>68.0401408880252</v>
      </c>
      <c r="V19" s="5" t="str">
        <f aca="false">IF(U19&gt;=60,"Recommended","Not Recommended")</f>
        <v>Recommended</v>
      </c>
      <c r="W19" s="5" t="str">
        <f aca="false">IF(Q19&gt;0,"Increase insulation thickness or reduce opening area to cut heat loss",IF(R19&gt;0,"Increase shading/ventilation or reduce solar-facing openings to cut heat gain","Design meets estimated comfort band without major changes"))</f>
        <v>Increase shading/ventilation or reduce solar-facing openings to cut heat gain</v>
      </c>
      <c r="X19" s="5" t="s">
        <v>555</v>
      </c>
    </row>
    <row r="20" customFormat="false" ht="15" hidden="false" customHeight="false" outlineLevel="0" collapsed="false">
      <c r="A20" s="5" t="str">
        <f aca="false">Combined_Scenarios!A20</f>
        <v>S019</v>
      </c>
      <c r="B20" s="5" t="n">
        <f aca="false">0.5+Combined_Scenarios!AA20*10</f>
        <v>0.884615384615385</v>
      </c>
      <c r="C20" s="5" t="n">
        <f aca="false">0.33*B20*Combined_Scenarios!Z20</f>
        <v>15.18</v>
      </c>
      <c r="D20" s="5" t="n">
        <f aca="false">Combined_Scenarios!W20*Combined_Scenarios!X20</f>
        <v>9.01545506582714</v>
      </c>
      <c r="E20" s="5" t="n">
        <f aca="false">C20+D20</f>
        <v>24.1954550658271</v>
      </c>
      <c r="F20" s="5" t="n">
        <f aca="false">0.5*Combined_Scenarios!Y20</f>
        <v>0.9</v>
      </c>
      <c r="G20" s="5" t="n">
        <f aca="false">Combined_Scenarios!K20*F20</f>
        <v>225</v>
      </c>
      <c r="H20" s="5" t="n">
        <f aca="false">Combined_Scenarios!H20+IF(E20=0,0,G20/E20)</f>
        <v>23.2992671304531</v>
      </c>
      <c r="I20" s="5" t="n">
        <f aca="false">H20-Combined_Scenarios!H20</f>
        <v>9.29926713045305</v>
      </c>
      <c r="J20" s="5" t="n">
        <f aca="false">E20*I20</f>
        <v>225</v>
      </c>
      <c r="K20" s="5" t="n">
        <f aca="false">0.31*Combined_Scenarios!H20+17.8</f>
        <v>22.14</v>
      </c>
      <c r="L20" s="5" t="n">
        <f aca="false">H20-K20</f>
        <v>1.15926713045305</v>
      </c>
      <c r="M20" s="5" t="str">
        <f aca="false">IF(AND(H20&gt;=12,H20&lt;=35),"Within safe range","Outside safe range")</f>
        <v>Within safe range</v>
      </c>
      <c r="N20" s="5" t="n">
        <f aca="false">MAX(0,100-ABS(L20)*8)</f>
        <v>90.7258629563756</v>
      </c>
      <c r="O20" s="5" t="n">
        <f aca="false">MAX(-3,MIN(3,L20/3))</f>
        <v>0.386422376817683</v>
      </c>
      <c r="P20" s="5" t="n">
        <f aca="false">100-95*EXP(-(0.03353*O20^4+0.2179*O20^2))</f>
        <v>8.11002387809072</v>
      </c>
      <c r="Q20" s="5" t="n">
        <f aca="false">IF(H20&lt;18,E20*(18-H20),0)</f>
        <v>0</v>
      </c>
      <c r="R20" s="5" t="n">
        <f aca="false">IF(H20&gt;26,E20*(H20-26),0)</f>
        <v>0</v>
      </c>
      <c r="S20" s="5" t="n">
        <f aca="false">Q20+R20</f>
        <v>0</v>
      </c>
      <c r="T20" s="5" t="n">
        <f aca="false">MAX(0,100-S20/5)</f>
        <v>100</v>
      </c>
      <c r="U20" s="5" t="n">
        <f aca="false">(N20+T20)/2</f>
        <v>95.3629314781878</v>
      </c>
      <c r="V20" s="5" t="str">
        <f aca="false">IF(U20&gt;=60,"Recommended","Not Recommended")</f>
        <v>Recommended</v>
      </c>
      <c r="W20" s="5" t="str">
        <f aca="false">IF(Q20&gt;0,"Increase insulation thickness or reduce opening area to cut heat loss",IF(R20&gt;0,"Increase shading/ventilation or reduce solar-facing openings to cut heat gain","Design meets estimated comfort band without major changes"))</f>
        <v>Design meets estimated comfort band without major changes</v>
      </c>
      <c r="X20" s="5" t="s">
        <v>555</v>
      </c>
    </row>
    <row r="21" customFormat="false" ht="15" hidden="false" customHeight="false" outlineLevel="0" collapsed="false">
      <c r="A21" s="5" t="str">
        <f aca="false">Combined_Scenarios!A21</f>
        <v>S020</v>
      </c>
      <c r="B21" s="5" t="n">
        <f aca="false">0.5+Combined_Scenarios!AA21*10</f>
        <v>0.884615384615385</v>
      </c>
      <c r="C21" s="5" t="n">
        <f aca="false">0.33*B21*Combined_Scenarios!Z21</f>
        <v>15.18</v>
      </c>
      <c r="D21" s="5" t="n">
        <f aca="false">Combined_Scenarios!W21*Combined_Scenarios!X21</f>
        <v>9.01545506582714</v>
      </c>
      <c r="E21" s="5" t="n">
        <f aca="false">C21+D21</f>
        <v>24.1954550658271</v>
      </c>
      <c r="F21" s="5" t="n">
        <f aca="false">0.5*Combined_Scenarios!Y21</f>
        <v>0.9</v>
      </c>
      <c r="G21" s="5" t="n">
        <f aca="false">Combined_Scenarios!K21*F21</f>
        <v>157.5</v>
      </c>
      <c r="H21" s="5" t="n">
        <f aca="false">Combined_Scenarios!H21+IF(E21=0,0,G21/E21)</f>
        <v>5.50948699131713</v>
      </c>
      <c r="I21" s="5" t="n">
        <f aca="false">H21-Combined_Scenarios!H21</f>
        <v>6.50948699131713</v>
      </c>
      <c r="J21" s="5" t="n">
        <f aca="false">E21*I21</f>
        <v>157.5</v>
      </c>
      <c r="K21" s="5" t="n">
        <f aca="false">0.31*Combined_Scenarios!H21+17.8</f>
        <v>17.49</v>
      </c>
      <c r="L21" s="5" t="n">
        <f aca="false">H21-K21</f>
        <v>-11.9805130086829</v>
      </c>
      <c r="M21" s="5" t="str">
        <f aca="false">IF(AND(H21&gt;=12,H21&lt;=35),"Within safe range","Outside safe range")</f>
        <v>Outside safe range</v>
      </c>
      <c r="N21" s="5" t="n">
        <f aca="false">MAX(0,100-ABS(L21)*8)</f>
        <v>4.15589593053706</v>
      </c>
      <c r="O21" s="5" t="n">
        <f aca="false">MAX(-3,MIN(3,L21/3))</f>
        <v>-3</v>
      </c>
      <c r="P21" s="5" t="n">
        <f aca="false">100-95*EXP(-(0.03353*O21^4+0.2179*O21^2))</f>
        <v>99.1158717152693</v>
      </c>
      <c r="Q21" s="5" t="n">
        <f aca="false">IF(H21&lt;18,E21*(18-H21),0)</f>
        <v>302.213646250716</v>
      </c>
      <c r="R21" s="5" t="n">
        <f aca="false">IF(H21&gt;26,E21*(H21-26),0)</f>
        <v>0</v>
      </c>
      <c r="S21" s="5" t="n">
        <f aca="false">Q21+R21</f>
        <v>302.213646250716</v>
      </c>
      <c r="T21" s="5" t="n">
        <f aca="false">MAX(0,100-S21/5)</f>
        <v>39.5572707498569</v>
      </c>
      <c r="U21" s="5" t="n">
        <f aca="false">(N21+T21)/2</f>
        <v>21.856583340197</v>
      </c>
      <c r="V21" s="5" t="str">
        <f aca="false">IF(U21&gt;=60,"Recommended","Not Recommended")</f>
        <v>Not Recommended</v>
      </c>
      <c r="W21" s="5" t="str">
        <f aca="false">IF(Q21&gt;0,"Increase insulation thickness or reduce opening area to cut heat loss",IF(R21&gt;0,"Increase shading/ventilation or reduce solar-facing openings to cut heat gain","Design meets estimated comfort band without major changes"))</f>
        <v>Increase insulation thickness or reduce opening area to cut heat loss</v>
      </c>
      <c r="X21" s="5" t="s">
        <v>555</v>
      </c>
    </row>
    <row r="22" customFormat="false" ht="15" hidden="false" customHeight="false" outlineLevel="0" collapsed="false">
      <c r="A22" s="5" t="str">
        <f aca="false">Combined_Scenarios!A22</f>
        <v>S021</v>
      </c>
      <c r="B22" s="5" t="n">
        <f aca="false">0.5+Combined_Scenarios!AA22*10</f>
        <v>0.916666666666667</v>
      </c>
      <c r="C22" s="5" t="n">
        <f aca="false">0.33*B22*Combined_Scenarios!Z22</f>
        <v>6.534</v>
      </c>
      <c r="D22" s="5" t="n">
        <f aca="false">Combined_Scenarios!W22*Combined_Scenarios!X22</f>
        <v>6.24434389140271</v>
      </c>
      <c r="E22" s="5" t="n">
        <f aca="false">C22+D22</f>
        <v>12.7783438914027</v>
      </c>
      <c r="F22" s="5" t="n">
        <f aca="false">0.5*Combined_Scenarios!Y22</f>
        <v>0.6</v>
      </c>
      <c r="G22" s="5" t="n">
        <f aca="false">Combined_Scenarios!K22*F22</f>
        <v>100</v>
      </c>
      <c r="H22" s="5" t="n">
        <f aca="false">Combined_Scenarios!H22+IF(E22=0,0,G22/E22)</f>
        <v>-0.174259759335472</v>
      </c>
      <c r="I22" s="5" t="n">
        <f aca="false">H22-Combined_Scenarios!H22</f>
        <v>7.82574024066453</v>
      </c>
      <c r="J22" s="5" t="n">
        <f aca="false">E22*I22</f>
        <v>100</v>
      </c>
      <c r="K22" s="5" t="n">
        <f aca="false">0.31*Combined_Scenarios!H22+17.8</f>
        <v>15.32</v>
      </c>
      <c r="L22" s="5" t="n">
        <f aca="false">H22-K22</f>
        <v>-15.4942597593355</v>
      </c>
      <c r="M22" s="5" t="str">
        <f aca="false">IF(AND(H22&gt;=12,H22&lt;=35),"Within safe range","Outside safe range")</f>
        <v>Outside safe range</v>
      </c>
      <c r="N22" s="5" t="n">
        <f aca="false">MAX(0,100-ABS(L22)*8)</f>
        <v>0</v>
      </c>
      <c r="O22" s="5" t="n">
        <f aca="false">MAX(-3,MIN(3,L22/3))</f>
        <v>-3</v>
      </c>
      <c r="P22" s="5" t="n">
        <f aca="false">100-95*EXP(-(0.03353*O22^4+0.2179*O22^2))</f>
        <v>99.1158717152693</v>
      </c>
      <c r="Q22" s="5" t="n">
        <f aca="false">IF(H22&lt;18,E22*(18-H22),0)</f>
        <v>232.236941176471</v>
      </c>
      <c r="R22" s="5" t="n">
        <f aca="false">IF(H22&gt;26,E22*(H22-26),0)</f>
        <v>0</v>
      </c>
      <c r="S22" s="5" t="n">
        <f aca="false">Q22+R22</f>
        <v>232.236941176471</v>
      </c>
      <c r="T22" s="5" t="n">
        <f aca="false">MAX(0,100-S22/5)</f>
        <v>53.5526117647059</v>
      </c>
      <c r="U22" s="5" t="n">
        <f aca="false">(N22+T22)/2</f>
        <v>26.7763058823529</v>
      </c>
      <c r="V22" s="5" t="str">
        <f aca="false">IF(U22&gt;=60,"Recommended","Not Recommended")</f>
        <v>Not Recommended</v>
      </c>
      <c r="W22" s="5" t="str">
        <f aca="false">IF(Q22&gt;0,"Increase insulation thickness or reduce opening area to cut heat loss",IF(R22&gt;0,"Increase shading/ventilation or reduce solar-facing openings to cut heat gain","Design meets estimated comfort band without major changes"))</f>
        <v>Increase insulation thickness or reduce opening area to cut heat loss</v>
      </c>
      <c r="X22" s="5" t="s">
        <v>555</v>
      </c>
    </row>
    <row r="23" customFormat="false" ht="15" hidden="false" customHeight="false" outlineLevel="0" collapsed="false">
      <c r="A23" s="5" t="str">
        <f aca="false">Combined_Scenarios!A23</f>
        <v>S022</v>
      </c>
      <c r="B23" s="5" t="n">
        <f aca="false">0.5+Combined_Scenarios!AA23*10</f>
        <v>0.916666666666667</v>
      </c>
      <c r="C23" s="5" t="n">
        <f aca="false">0.33*B23*Combined_Scenarios!Z23</f>
        <v>6.534</v>
      </c>
      <c r="D23" s="5" t="n">
        <f aca="false">Combined_Scenarios!W23*Combined_Scenarios!X23</f>
        <v>6.24434389140271</v>
      </c>
      <c r="E23" s="5" t="n">
        <f aca="false">C23+D23</f>
        <v>12.7783438914027</v>
      </c>
      <c r="F23" s="5" t="n">
        <f aca="false">0.5*Combined_Scenarios!Y23</f>
        <v>0.6</v>
      </c>
      <c r="G23" s="5" t="n">
        <f aca="false">Combined_Scenarios!K23*F23</f>
        <v>162.5</v>
      </c>
      <c r="H23" s="5" t="n">
        <f aca="false">Combined_Scenarios!H23+IF(E23=0,0,G23/E23)</f>
        <v>19.7168278910799</v>
      </c>
      <c r="I23" s="5" t="n">
        <f aca="false">H23-Combined_Scenarios!H23</f>
        <v>12.7168278910799</v>
      </c>
      <c r="J23" s="5" t="n">
        <f aca="false">E23*I23</f>
        <v>162.5</v>
      </c>
      <c r="K23" s="5" t="n">
        <f aca="false">0.31*Combined_Scenarios!H23+17.8</f>
        <v>19.97</v>
      </c>
      <c r="L23" s="5" t="n">
        <f aca="false">H23-K23</f>
        <v>-0.25317210892014</v>
      </c>
      <c r="M23" s="5" t="str">
        <f aca="false">IF(AND(H23&gt;=12,H23&lt;=35),"Within safe range","Outside safe range")</f>
        <v>Within safe range</v>
      </c>
      <c r="N23" s="5" t="n">
        <f aca="false">MAX(0,100-ABS(L23)*8)</f>
        <v>97.9746231286389</v>
      </c>
      <c r="O23" s="5" t="n">
        <f aca="false">MAX(-3,MIN(3,L23/3))</f>
        <v>-0.0843907029733799</v>
      </c>
      <c r="P23" s="5" t="n">
        <f aca="false">100-95*EXP(-(0.03353*O23^4+0.2179*O23^2))</f>
        <v>5.1474716089342</v>
      </c>
      <c r="Q23" s="5" t="n">
        <f aca="false">IF(H23&lt;18,E23*(18-H23),0)</f>
        <v>0</v>
      </c>
      <c r="R23" s="5" t="n">
        <f aca="false">IF(H23&gt;26,E23*(H23-26),0)</f>
        <v>0</v>
      </c>
      <c r="S23" s="5" t="n">
        <f aca="false">Q23+R23</f>
        <v>0</v>
      </c>
      <c r="T23" s="5" t="n">
        <f aca="false">MAX(0,100-S23/5)</f>
        <v>100</v>
      </c>
      <c r="U23" s="5" t="n">
        <f aca="false">(N23+T23)/2</f>
        <v>98.9873115643194</v>
      </c>
      <c r="V23" s="5" t="str">
        <f aca="false">IF(U23&gt;=60,"Recommended","Not Recommended")</f>
        <v>Recommended</v>
      </c>
      <c r="W23" s="5" t="str">
        <f aca="false">IF(Q23&gt;0,"Increase insulation thickness or reduce opening area to cut heat loss",IF(R23&gt;0,"Increase shading/ventilation or reduce solar-facing openings to cut heat gain","Design meets estimated comfort band without major changes"))</f>
        <v>Design meets estimated comfort band without major changes</v>
      </c>
      <c r="X23" s="5" t="s">
        <v>555</v>
      </c>
    </row>
    <row r="24" customFormat="false" ht="15" hidden="false" customHeight="false" outlineLevel="0" collapsed="false">
      <c r="A24" s="5" t="str">
        <f aca="false">Combined_Scenarios!A24</f>
        <v>S023</v>
      </c>
      <c r="B24" s="5" t="n">
        <f aca="false">0.5+Combined_Scenarios!AA24*10</f>
        <v>0.916666666666667</v>
      </c>
      <c r="C24" s="5" t="n">
        <f aca="false">0.33*B24*Combined_Scenarios!Z24</f>
        <v>6.534</v>
      </c>
      <c r="D24" s="5" t="n">
        <f aca="false">Combined_Scenarios!W24*Combined_Scenarios!X24</f>
        <v>6.24434389140271</v>
      </c>
      <c r="E24" s="5" t="n">
        <f aca="false">C24+D24</f>
        <v>12.7783438914027</v>
      </c>
      <c r="F24" s="5" t="n">
        <f aca="false">0.5*Combined_Scenarios!Y24</f>
        <v>0.6</v>
      </c>
      <c r="G24" s="5" t="n">
        <f aca="false">Combined_Scenarios!K24*F24</f>
        <v>170</v>
      </c>
      <c r="H24" s="5" t="n">
        <f aca="false">Combined_Scenarios!H24+IF(E24=0,0,G24/E24)</f>
        <v>32.3037584091297</v>
      </c>
      <c r="I24" s="5" t="n">
        <f aca="false">H24-Combined_Scenarios!H24</f>
        <v>13.3037584091297</v>
      </c>
      <c r="J24" s="5" t="n">
        <f aca="false">E24*I24</f>
        <v>170</v>
      </c>
      <c r="K24" s="5" t="n">
        <f aca="false">0.31*Combined_Scenarios!H24+17.8</f>
        <v>23.69</v>
      </c>
      <c r="L24" s="5" t="n">
        <f aca="false">H24-K24</f>
        <v>8.6137584091297</v>
      </c>
      <c r="M24" s="5" t="str">
        <f aca="false">IF(AND(H24&gt;=12,H24&lt;=35),"Within safe range","Outside safe range")</f>
        <v>Within safe range</v>
      </c>
      <c r="N24" s="5" t="n">
        <f aca="false">MAX(0,100-ABS(L24)*8)</f>
        <v>31.0899327269624</v>
      </c>
      <c r="O24" s="5" t="n">
        <f aca="false">MAX(-3,MIN(3,L24/3))</f>
        <v>2.87125280304323</v>
      </c>
      <c r="P24" s="5" t="n">
        <f aca="false">100-95*EXP(-(0.03353*O24^4+0.2179*O24^2))</f>
        <v>98.3861534144558</v>
      </c>
      <c r="Q24" s="5" t="n">
        <f aca="false">IF(H24&lt;18,E24*(18-H24),0)</f>
        <v>0</v>
      </c>
      <c r="R24" s="5" t="n">
        <f aca="false">IF(H24&gt;26,E24*(H24-26),0)</f>
        <v>80.551592760181</v>
      </c>
      <c r="S24" s="5" t="n">
        <f aca="false">Q24+R24</f>
        <v>80.551592760181</v>
      </c>
      <c r="T24" s="5" t="n">
        <f aca="false">MAX(0,100-S24/5)</f>
        <v>83.8896814479638</v>
      </c>
      <c r="U24" s="5" t="n">
        <f aca="false">(N24+T24)/2</f>
        <v>57.4898070874631</v>
      </c>
      <c r="V24" s="5" t="str">
        <f aca="false">IF(U24&gt;=60,"Recommended","Not Recommended")</f>
        <v>Not Recommended</v>
      </c>
      <c r="W24" s="5" t="str">
        <f aca="false">IF(Q24&gt;0,"Increase insulation thickness or reduce opening area to cut heat loss",IF(R24&gt;0,"Increase shading/ventilation or reduce solar-facing openings to cut heat gain","Design meets estimated comfort band without major changes"))</f>
        <v>Increase shading/ventilation or reduce solar-facing openings to cut heat gain</v>
      </c>
      <c r="X24" s="5" t="s">
        <v>555</v>
      </c>
    </row>
    <row r="25" customFormat="false" ht="15" hidden="false" customHeight="false" outlineLevel="0" collapsed="false">
      <c r="A25" s="5" t="str">
        <f aca="false">Combined_Scenarios!A25</f>
        <v>S024</v>
      </c>
      <c r="B25" s="5" t="n">
        <f aca="false">0.5+Combined_Scenarios!AA25*10</f>
        <v>0.916666666666667</v>
      </c>
      <c r="C25" s="5" t="n">
        <f aca="false">0.33*B25*Combined_Scenarios!Z25</f>
        <v>6.534</v>
      </c>
      <c r="D25" s="5" t="n">
        <f aca="false">Combined_Scenarios!W25*Combined_Scenarios!X25</f>
        <v>6.24434389140271</v>
      </c>
      <c r="E25" s="5" t="n">
        <f aca="false">C25+D25</f>
        <v>12.7783438914027</v>
      </c>
      <c r="F25" s="5" t="n">
        <f aca="false">0.5*Combined_Scenarios!Y25</f>
        <v>0.6</v>
      </c>
      <c r="G25" s="5" t="n">
        <f aca="false">Combined_Scenarios!K25*F25</f>
        <v>150</v>
      </c>
      <c r="H25" s="5" t="n">
        <f aca="false">Combined_Scenarios!H25+IF(E25=0,0,G25/E25)</f>
        <v>25.7386103609968</v>
      </c>
      <c r="I25" s="5" t="n">
        <f aca="false">H25-Combined_Scenarios!H25</f>
        <v>11.7386103609968</v>
      </c>
      <c r="J25" s="5" t="n">
        <f aca="false">E25*I25</f>
        <v>150</v>
      </c>
      <c r="K25" s="5" t="n">
        <f aca="false">0.31*Combined_Scenarios!H25+17.8</f>
        <v>22.14</v>
      </c>
      <c r="L25" s="5" t="n">
        <f aca="false">H25-K25</f>
        <v>3.59861036099679</v>
      </c>
      <c r="M25" s="5" t="str">
        <f aca="false">IF(AND(H25&gt;=12,H25&lt;=35),"Within safe range","Outside safe range")</f>
        <v>Within safe range</v>
      </c>
      <c r="N25" s="5" t="n">
        <f aca="false">MAX(0,100-ABS(L25)*8)</f>
        <v>71.2111171120257</v>
      </c>
      <c r="O25" s="5" t="n">
        <f aca="false">MAX(-3,MIN(3,L25/3))</f>
        <v>1.19953678699893</v>
      </c>
      <c r="P25" s="5" t="n">
        <f aca="false">100-95*EXP(-(0.03353*O25^4+0.2179*O25^2))</f>
        <v>35.2248157748189</v>
      </c>
      <c r="Q25" s="5" t="n">
        <f aca="false">IF(H25&lt;18,E25*(18-H25),0)</f>
        <v>0</v>
      </c>
      <c r="R25" s="5" t="n">
        <f aca="false">IF(H25&gt;26,E25*(H25-26),0)</f>
        <v>0</v>
      </c>
      <c r="S25" s="5" t="n">
        <f aca="false">Q25+R25</f>
        <v>0</v>
      </c>
      <c r="T25" s="5" t="n">
        <f aca="false">MAX(0,100-S25/5)</f>
        <v>100</v>
      </c>
      <c r="U25" s="5" t="n">
        <f aca="false">(N25+T25)/2</f>
        <v>85.6055585560128</v>
      </c>
      <c r="V25" s="5" t="str">
        <f aca="false">IF(U25&gt;=60,"Recommended","Not Recommended")</f>
        <v>Recommended</v>
      </c>
      <c r="W25" s="5" t="str">
        <f aca="false">IF(Q25&gt;0,"Increase insulation thickness or reduce opening area to cut heat loss",IF(R25&gt;0,"Increase shading/ventilation or reduce solar-facing openings to cut heat gain","Design meets estimated comfort band without major changes"))</f>
        <v>Design meets estimated comfort band without major changes</v>
      </c>
      <c r="X25" s="5" t="s">
        <v>555</v>
      </c>
    </row>
    <row r="26" customFormat="false" ht="15" hidden="false" customHeight="false" outlineLevel="0" collapsed="false">
      <c r="A26" s="5" t="str">
        <f aca="false">Combined_Scenarios!A26</f>
        <v>S025</v>
      </c>
      <c r="B26" s="5" t="n">
        <f aca="false">0.5+Combined_Scenarios!AA26*10</f>
        <v>0.916666666666667</v>
      </c>
      <c r="C26" s="5" t="n">
        <f aca="false">0.33*B26*Combined_Scenarios!Z26</f>
        <v>6.534</v>
      </c>
      <c r="D26" s="5" t="n">
        <f aca="false">Combined_Scenarios!W26*Combined_Scenarios!X26</f>
        <v>6.24434389140271</v>
      </c>
      <c r="E26" s="5" t="n">
        <f aca="false">C26+D26</f>
        <v>12.7783438914027</v>
      </c>
      <c r="F26" s="5" t="n">
        <f aca="false">0.5*Combined_Scenarios!Y26</f>
        <v>0.6</v>
      </c>
      <c r="G26" s="5" t="n">
        <f aca="false">Combined_Scenarios!K26*F26</f>
        <v>105</v>
      </c>
      <c r="H26" s="5" t="n">
        <f aca="false">Combined_Scenarios!H26+IF(E26=0,0,G26/E26)</f>
        <v>7.21702725269776</v>
      </c>
      <c r="I26" s="5" t="n">
        <f aca="false">H26-Combined_Scenarios!H26</f>
        <v>8.21702725269776</v>
      </c>
      <c r="J26" s="5" t="n">
        <f aca="false">E26*I26</f>
        <v>105</v>
      </c>
      <c r="K26" s="5" t="n">
        <f aca="false">0.31*Combined_Scenarios!H26+17.8</f>
        <v>17.49</v>
      </c>
      <c r="L26" s="5" t="n">
        <f aca="false">H26-K26</f>
        <v>-10.2729727473022</v>
      </c>
      <c r="M26" s="5" t="str">
        <f aca="false">IF(AND(H26&gt;=12,H26&lt;=35),"Within safe range","Outside safe range")</f>
        <v>Outside safe range</v>
      </c>
      <c r="N26" s="5" t="n">
        <f aca="false">MAX(0,100-ABS(L26)*8)</f>
        <v>17.816218021582</v>
      </c>
      <c r="O26" s="5" t="n">
        <f aca="false">MAX(-3,MIN(3,L26/3))</f>
        <v>-3</v>
      </c>
      <c r="P26" s="5" t="n">
        <f aca="false">100-95*EXP(-(0.03353*O26^4+0.2179*O26^2))</f>
        <v>99.1158717152693</v>
      </c>
      <c r="Q26" s="5" t="n">
        <f aca="false">IF(H26&lt;18,E26*(18-H26),0)</f>
        <v>137.788533936652</v>
      </c>
      <c r="R26" s="5" t="n">
        <f aca="false">IF(H26&gt;26,E26*(H26-26),0)</f>
        <v>0</v>
      </c>
      <c r="S26" s="5" t="n">
        <f aca="false">Q26+R26</f>
        <v>137.788533936652</v>
      </c>
      <c r="T26" s="5" t="n">
        <f aca="false">MAX(0,100-S26/5)</f>
        <v>72.4422932126697</v>
      </c>
      <c r="U26" s="5" t="n">
        <f aca="false">(N26+T26)/2</f>
        <v>45.1292556171259</v>
      </c>
      <c r="V26" s="5" t="str">
        <f aca="false">IF(U26&gt;=60,"Recommended","Not Recommended")</f>
        <v>Not Recommended</v>
      </c>
      <c r="W26" s="5" t="str">
        <f aca="false">IF(Q26&gt;0,"Increase insulation thickness or reduce opening area to cut heat loss",IF(R26&gt;0,"Increase shading/ventilation or reduce solar-facing openings to cut heat gain","Design meets estimated comfort band without major changes"))</f>
        <v>Increase insulation thickness or reduce opening area to cut heat loss</v>
      </c>
      <c r="X26" s="5" t="s">
        <v>555</v>
      </c>
    </row>
    <row r="27" customFormat="false" ht="15" hidden="false" customHeight="false" outlineLevel="0" collapsed="false">
      <c r="A27" s="5" t="str">
        <f aca="false">Combined_Scenarios!A27</f>
        <v>S026</v>
      </c>
      <c r="B27" s="5" t="n">
        <f aca="false">0.5+Combined_Scenarios!AA27*10</f>
        <v>0.884615384615385</v>
      </c>
      <c r="C27" s="5" t="n">
        <f aca="false">0.33*B27*Combined_Scenarios!Z27</f>
        <v>15.18</v>
      </c>
      <c r="D27" s="5" t="n">
        <f aca="false">Combined_Scenarios!W27*Combined_Scenarios!X27</f>
        <v>10.1809954751131</v>
      </c>
      <c r="E27" s="5" t="n">
        <f aca="false">C27+D27</f>
        <v>25.3609954751131</v>
      </c>
      <c r="F27" s="5" t="n">
        <f aca="false">0.5*Combined_Scenarios!Y27</f>
        <v>0.9</v>
      </c>
      <c r="G27" s="5" t="n">
        <f aca="false">Combined_Scenarios!K27*F27</f>
        <v>150</v>
      </c>
      <c r="H27" s="5" t="n">
        <f aca="false">Combined_Scenarios!H27+IF(E27=0,0,G27/E27)</f>
        <v>-2.08540567158747</v>
      </c>
      <c r="I27" s="5" t="n">
        <f aca="false">H27-Combined_Scenarios!H27</f>
        <v>5.91459432841253</v>
      </c>
      <c r="J27" s="5" t="n">
        <f aca="false">E27*I27</f>
        <v>150</v>
      </c>
      <c r="K27" s="5" t="n">
        <f aca="false">0.31*Combined_Scenarios!H27+17.8</f>
        <v>15.32</v>
      </c>
      <c r="L27" s="5" t="n">
        <f aca="false">H27-K27</f>
        <v>-17.4054056715875</v>
      </c>
      <c r="M27" s="5" t="str">
        <f aca="false">IF(AND(H27&gt;=12,H27&lt;=35),"Within safe range","Outside safe range")</f>
        <v>Outside safe range</v>
      </c>
      <c r="N27" s="5" t="n">
        <f aca="false">MAX(0,100-ABS(L27)*8)</f>
        <v>0</v>
      </c>
      <c r="O27" s="5" t="n">
        <f aca="false">MAX(-3,MIN(3,L27/3))</f>
        <v>-3</v>
      </c>
      <c r="P27" s="5" t="n">
        <f aca="false">100-95*EXP(-(0.03353*O27^4+0.2179*O27^2))</f>
        <v>99.1158717152693</v>
      </c>
      <c r="Q27" s="5" t="n">
        <f aca="false">IF(H27&lt;18,E27*(18-H27),0)</f>
        <v>509.385882352941</v>
      </c>
      <c r="R27" s="5" t="n">
        <f aca="false">IF(H27&gt;26,E27*(H27-26),0)</f>
        <v>0</v>
      </c>
      <c r="S27" s="5" t="n">
        <f aca="false">Q27+R27</f>
        <v>509.385882352941</v>
      </c>
      <c r="T27" s="5" t="n">
        <f aca="false">MAX(0,100-S27/5)</f>
        <v>0</v>
      </c>
      <c r="U27" s="5" t="n">
        <f aca="false">(N27+T27)/2</f>
        <v>0</v>
      </c>
      <c r="V27" s="5" t="str">
        <f aca="false">IF(U27&gt;=60,"Recommended","Not Recommended")</f>
        <v>Not Recommended</v>
      </c>
      <c r="W27" s="5" t="str">
        <f aca="false">IF(Q27&gt;0,"Increase insulation thickness or reduce opening area to cut heat loss",IF(R27&gt;0,"Increase shading/ventilation or reduce solar-facing openings to cut heat gain","Design meets estimated comfort band without major changes"))</f>
        <v>Increase insulation thickness or reduce opening area to cut heat loss</v>
      </c>
      <c r="X27" s="5" t="s">
        <v>555</v>
      </c>
    </row>
    <row r="28" customFormat="false" ht="15" hidden="false" customHeight="false" outlineLevel="0" collapsed="false">
      <c r="A28" s="5" t="str">
        <f aca="false">Combined_Scenarios!A28</f>
        <v>S027</v>
      </c>
      <c r="B28" s="5" t="n">
        <f aca="false">0.5+Combined_Scenarios!AA28*10</f>
        <v>0.884615384615385</v>
      </c>
      <c r="C28" s="5" t="n">
        <f aca="false">0.33*B28*Combined_Scenarios!Z28</f>
        <v>15.18</v>
      </c>
      <c r="D28" s="5" t="n">
        <f aca="false">Combined_Scenarios!W28*Combined_Scenarios!X28</f>
        <v>10.1809954751131</v>
      </c>
      <c r="E28" s="5" t="n">
        <f aca="false">C28+D28</f>
        <v>25.3609954751131</v>
      </c>
      <c r="F28" s="5" t="n">
        <f aca="false">0.5*Combined_Scenarios!Y28</f>
        <v>0.9</v>
      </c>
      <c r="G28" s="5" t="n">
        <f aca="false">Combined_Scenarios!K28*F28</f>
        <v>243.75</v>
      </c>
      <c r="H28" s="5" t="n">
        <f aca="false">Combined_Scenarios!H28+IF(E28=0,0,G28/E28)</f>
        <v>16.6112157836704</v>
      </c>
      <c r="I28" s="5" t="n">
        <f aca="false">H28-Combined_Scenarios!H28</f>
        <v>9.61121578367037</v>
      </c>
      <c r="J28" s="5" t="n">
        <f aca="false">E28*I28</f>
        <v>243.75</v>
      </c>
      <c r="K28" s="5" t="n">
        <f aca="false">0.31*Combined_Scenarios!H28+17.8</f>
        <v>19.97</v>
      </c>
      <c r="L28" s="5" t="n">
        <f aca="false">H28-K28</f>
        <v>-3.35878421632963</v>
      </c>
      <c r="M28" s="5" t="str">
        <f aca="false">IF(AND(H28&gt;=12,H28&lt;=35),"Within safe range","Outside safe range")</f>
        <v>Within safe range</v>
      </c>
      <c r="N28" s="5" t="n">
        <f aca="false">MAX(0,100-ABS(L28)*8)</f>
        <v>73.129726269363</v>
      </c>
      <c r="O28" s="5" t="n">
        <f aca="false">MAX(-3,MIN(3,L28/3))</f>
        <v>-1.11959473877654</v>
      </c>
      <c r="P28" s="5" t="n">
        <f aca="false">100-95*EXP(-(0.03353*O28^4+0.2179*O28^2))</f>
        <v>31.4161475798824</v>
      </c>
      <c r="Q28" s="5" t="n">
        <f aca="false">IF(H28&lt;18,E28*(18-H28),0)</f>
        <v>35.2209502262443</v>
      </c>
      <c r="R28" s="5" t="n">
        <f aca="false">IF(H28&gt;26,E28*(H28-26),0)</f>
        <v>0</v>
      </c>
      <c r="S28" s="5" t="n">
        <f aca="false">Q28+R28</f>
        <v>35.2209502262443</v>
      </c>
      <c r="T28" s="5" t="n">
        <f aca="false">MAX(0,100-S28/5)</f>
        <v>92.9558099547511</v>
      </c>
      <c r="U28" s="5" t="n">
        <f aca="false">(N28+T28)/2</f>
        <v>83.0427681120571</v>
      </c>
      <c r="V28" s="5" t="str">
        <f aca="false">IF(U28&gt;=60,"Recommended","Not Recommended")</f>
        <v>Recommended</v>
      </c>
      <c r="W28" s="5" t="str">
        <f aca="false">IF(Q28&gt;0,"Increase insulation thickness or reduce opening area to cut heat loss",IF(R28&gt;0,"Increase shading/ventilation or reduce solar-facing openings to cut heat gain","Design meets estimated comfort band without major changes"))</f>
        <v>Increase insulation thickness or reduce opening area to cut heat loss</v>
      </c>
      <c r="X28" s="5" t="s">
        <v>555</v>
      </c>
    </row>
    <row r="29" customFormat="false" ht="15" hidden="false" customHeight="false" outlineLevel="0" collapsed="false">
      <c r="A29" s="5" t="str">
        <f aca="false">Combined_Scenarios!A29</f>
        <v>S028</v>
      </c>
      <c r="B29" s="5" t="n">
        <f aca="false">0.5+Combined_Scenarios!AA29*10</f>
        <v>0.884615384615385</v>
      </c>
      <c r="C29" s="5" t="n">
        <f aca="false">0.33*B29*Combined_Scenarios!Z29</f>
        <v>15.18</v>
      </c>
      <c r="D29" s="5" t="n">
        <f aca="false">Combined_Scenarios!W29*Combined_Scenarios!X29</f>
        <v>10.1809954751131</v>
      </c>
      <c r="E29" s="5" t="n">
        <f aca="false">C29+D29</f>
        <v>25.3609954751131</v>
      </c>
      <c r="F29" s="5" t="n">
        <f aca="false">0.5*Combined_Scenarios!Y29</f>
        <v>0.9</v>
      </c>
      <c r="G29" s="5" t="n">
        <f aca="false">Combined_Scenarios!K29*F29</f>
        <v>255</v>
      </c>
      <c r="H29" s="5" t="n">
        <f aca="false">Combined_Scenarios!H29+IF(E29=0,0,G29/E29)</f>
        <v>29.0548103583013</v>
      </c>
      <c r="I29" s="5" t="n">
        <f aca="false">H29-Combined_Scenarios!H29</f>
        <v>10.0548103583013</v>
      </c>
      <c r="J29" s="5" t="n">
        <f aca="false">E29*I29</f>
        <v>255</v>
      </c>
      <c r="K29" s="5" t="n">
        <f aca="false">0.31*Combined_Scenarios!H29+17.8</f>
        <v>23.69</v>
      </c>
      <c r="L29" s="5" t="n">
        <f aca="false">H29-K29</f>
        <v>5.36481035830131</v>
      </c>
      <c r="M29" s="5" t="str">
        <f aca="false">IF(AND(H29&gt;=12,H29&lt;=35),"Within safe range","Outside safe range")</f>
        <v>Within safe range</v>
      </c>
      <c r="N29" s="5" t="n">
        <f aca="false">MAX(0,100-ABS(L29)*8)</f>
        <v>57.0815171335896</v>
      </c>
      <c r="O29" s="5" t="n">
        <f aca="false">MAX(-3,MIN(3,L29/3))</f>
        <v>1.78827011943377</v>
      </c>
      <c r="P29" s="5" t="n">
        <f aca="false">100-95*EXP(-(0.03353*O29^4+0.2179*O29^2))</f>
        <v>66.4125177743759</v>
      </c>
      <c r="Q29" s="5" t="n">
        <f aca="false">IF(H29&lt;18,E29*(18-H29),0)</f>
        <v>0</v>
      </c>
      <c r="R29" s="5" t="n">
        <f aca="false">IF(H29&gt;26,E29*(H29-26),0)</f>
        <v>77.4730316742081</v>
      </c>
      <c r="S29" s="5" t="n">
        <f aca="false">Q29+R29</f>
        <v>77.4730316742081</v>
      </c>
      <c r="T29" s="5" t="n">
        <f aca="false">MAX(0,100-S29/5)</f>
        <v>84.5053936651584</v>
      </c>
      <c r="U29" s="5" t="n">
        <f aca="false">(N29+T29)/2</f>
        <v>70.793455399374</v>
      </c>
      <c r="V29" s="5" t="str">
        <f aca="false">IF(U29&gt;=60,"Recommended","Not Recommended")</f>
        <v>Recommended</v>
      </c>
      <c r="W29" s="5" t="str">
        <f aca="false">IF(Q29&gt;0,"Increase insulation thickness or reduce opening area to cut heat loss",IF(R29&gt;0,"Increase shading/ventilation or reduce solar-facing openings to cut heat gain","Design meets estimated comfort band without major changes"))</f>
        <v>Increase shading/ventilation or reduce solar-facing openings to cut heat gain</v>
      </c>
      <c r="X29" s="5" t="s">
        <v>555</v>
      </c>
    </row>
    <row r="30" customFormat="false" ht="15" hidden="false" customHeight="false" outlineLevel="0" collapsed="false">
      <c r="A30" s="5" t="str">
        <f aca="false">Combined_Scenarios!A30</f>
        <v>S029</v>
      </c>
      <c r="B30" s="5" t="n">
        <f aca="false">0.5+Combined_Scenarios!AA30*10</f>
        <v>0.884615384615385</v>
      </c>
      <c r="C30" s="5" t="n">
        <f aca="false">0.33*B30*Combined_Scenarios!Z30</f>
        <v>15.18</v>
      </c>
      <c r="D30" s="5" t="n">
        <f aca="false">Combined_Scenarios!W30*Combined_Scenarios!X30</f>
        <v>10.1809954751131</v>
      </c>
      <c r="E30" s="5" t="n">
        <f aca="false">C30+D30</f>
        <v>25.3609954751131</v>
      </c>
      <c r="F30" s="5" t="n">
        <f aca="false">0.5*Combined_Scenarios!Y30</f>
        <v>0.9</v>
      </c>
      <c r="G30" s="5" t="n">
        <f aca="false">Combined_Scenarios!K30*F30</f>
        <v>225</v>
      </c>
      <c r="H30" s="5" t="n">
        <f aca="false">Combined_Scenarios!H30+IF(E30=0,0,G30/E30)</f>
        <v>22.8718914926188</v>
      </c>
      <c r="I30" s="5" t="n">
        <f aca="false">H30-Combined_Scenarios!H30</f>
        <v>8.8718914926188</v>
      </c>
      <c r="J30" s="5" t="n">
        <f aca="false">E30*I30</f>
        <v>225</v>
      </c>
      <c r="K30" s="5" t="n">
        <f aca="false">0.31*Combined_Scenarios!H30+17.8</f>
        <v>22.14</v>
      </c>
      <c r="L30" s="5" t="n">
        <f aca="false">H30-K30</f>
        <v>0.7318914926188</v>
      </c>
      <c r="M30" s="5" t="str">
        <f aca="false">IF(AND(H30&gt;=12,H30&lt;=35),"Within safe range","Outside safe range")</f>
        <v>Within safe range</v>
      </c>
      <c r="N30" s="5" t="n">
        <f aca="false">MAX(0,100-ABS(L30)*8)</f>
        <v>94.1448680590496</v>
      </c>
      <c r="O30" s="5" t="n">
        <f aca="false">MAX(-3,MIN(3,L30/3))</f>
        <v>0.243963830872933</v>
      </c>
      <c r="P30" s="5" t="n">
        <f aca="false">100-95*EXP(-(0.03353*O30^4+0.2179*O30^2))</f>
        <v>6.23524256033728</v>
      </c>
      <c r="Q30" s="5" t="n">
        <f aca="false">IF(H30&lt;18,E30*(18-H30),0)</f>
        <v>0</v>
      </c>
      <c r="R30" s="5" t="n">
        <f aca="false">IF(H30&gt;26,E30*(H30-26),0)</f>
        <v>0</v>
      </c>
      <c r="S30" s="5" t="n">
        <f aca="false">Q30+R30</f>
        <v>0</v>
      </c>
      <c r="T30" s="5" t="n">
        <f aca="false">MAX(0,100-S30/5)</f>
        <v>100</v>
      </c>
      <c r="U30" s="5" t="n">
        <f aca="false">(N30+T30)/2</f>
        <v>97.0724340295248</v>
      </c>
      <c r="V30" s="5" t="str">
        <f aca="false">IF(U30&gt;=60,"Recommended","Not Recommended")</f>
        <v>Recommended</v>
      </c>
      <c r="W30" s="5" t="str">
        <f aca="false">IF(Q30&gt;0,"Increase insulation thickness or reduce opening area to cut heat loss",IF(R30&gt;0,"Increase shading/ventilation or reduce solar-facing openings to cut heat gain","Design meets estimated comfort band without major changes"))</f>
        <v>Design meets estimated comfort band without major changes</v>
      </c>
      <c r="X30" s="5" t="s">
        <v>555</v>
      </c>
    </row>
    <row r="31" customFormat="false" ht="15" hidden="false" customHeight="false" outlineLevel="0" collapsed="false">
      <c r="A31" s="5" t="str">
        <f aca="false">Combined_Scenarios!A31</f>
        <v>S030</v>
      </c>
      <c r="B31" s="5" t="n">
        <f aca="false">0.5+Combined_Scenarios!AA31*10</f>
        <v>0.884615384615385</v>
      </c>
      <c r="C31" s="5" t="n">
        <f aca="false">0.33*B31*Combined_Scenarios!Z31</f>
        <v>15.18</v>
      </c>
      <c r="D31" s="5" t="n">
        <f aca="false">Combined_Scenarios!W31*Combined_Scenarios!X31</f>
        <v>10.1809954751131</v>
      </c>
      <c r="E31" s="5" t="n">
        <f aca="false">C31+D31</f>
        <v>25.3609954751131</v>
      </c>
      <c r="F31" s="5" t="n">
        <f aca="false">0.5*Combined_Scenarios!Y31</f>
        <v>0.9</v>
      </c>
      <c r="G31" s="5" t="n">
        <f aca="false">Combined_Scenarios!K31*F31</f>
        <v>157.5</v>
      </c>
      <c r="H31" s="5" t="n">
        <f aca="false">Combined_Scenarios!H31+IF(E31=0,0,G31/E31)</f>
        <v>5.21032404483316</v>
      </c>
      <c r="I31" s="5" t="n">
        <f aca="false">H31-Combined_Scenarios!H31</f>
        <v>6.21032404483316</v>
      </c>
      <c r="J31" s="5" t="n">
        <f aca="false">E31*I31</f>
        <v>157.5</v>
      </c>
      <c r="K31" s="5" t="n">
        <f aca="false">0.31*Combined_Scenarios!H31+17.8</f>
        <v>17.49</v>
      </c>
      <c r="L31" s="5" t="n">
        <f aca="false">H31-K31</f>
        <v>-12.2796759551668</v>
      </c>
      <c r="M31" s="5" t="str">
        <f aca="false">IF(AND(H31&gt;=12,H31&lt;=35),"Within safe range","Outside safe range")</f>
        <v>Outside safe range</v>
      </c>
      <c r="N31" s="5" t="n">
        <f aca="false">MAX(0,100-ABS(L31)*8)</f>
        <v>1.76259235866526</v>
      </c>
      <c r="O31" s="5" t="n">
        <f aca="false">MAX(-3,MIN(3,L31/3))</f>
        <v>-3</v>
      </c>
      <c r="P31" s="5" t="n">
        <f aca="false">100-95*EXP(-(0.03353*O31^4+0.2179*O31^2))</f>
        <v>99.1158717152693</v>
      </c>
      <c r="Q31" s="5" t="n">
        <f aca="false">IF(H31&lt;18,E31*(18-H31),0)</f>
        <v>324.358914027149</v>
      </c>
      <c r="R31" s="5" t="n">
        <f aca="false">IF(H31&gt;26,E31*(H31-26),0)</f>
        <v>0</v>
      </c>
      <c r="S31" s="5" t="n">
        <f aca="false">Q31+R31</f>
        <v>324.358914027149</v>
      </c>
      <c r="T31" s="5" t="n">
        <f aca="false">MAX(0,100-S31/5)</f>
        <v>35.1282171945701</v>
      </c>
      <c r="U31" s="5" t="n">
        <f aca="false">(N31+T31)/2</f>
        <v>18.4454047766177</v>
      </c>
      <c r="V31" s="5" t="str">
        <f aca="false">IF(U31&gt;=60,"Recommended","Not Recommended")</f>
        <v>Not Recommended</v>
      </c>
      <c r="W31" s="5" t="str">
        <f aca="false">IF(Q31&gt;0,"Increase insulation thickness or reduce opening area to cut heat loss",IF(R31&gt;0,"Increase shading/ventilation or reduce solar-facing openings to cut heat gain","Design meets estimated comfort band without major changes"))</f>
        <v>Increase insulation thickness or reduce opening area to cut heat loss</v>
      </c>
      <c r="X31" s="5" t="s">
        <v>555</v>
      </c>
    </row>
    <row r="32" customFormat="false" ht="15" hidden="false" customHeight="false" outlineLevel="0" collapsed="false">
      <c r="A32" s="5" t="str">
        <f aca="false">Combined_Scenarios!A32</f>
        <v>S031</v>
      </c>
      <c r="B32" s="5" t="n">
        <f aca="false">0.5+Combined_Scenarios!AA32*10</f>
        <v>0.916666666666667</v>
      </c>
      <c r="C32" s="5" t="n">
        <f aca="false">0.33*B32*Combined_Scenarios!Z32</f>
        <v>6.534</v>
      </c>
      <c r="D32" s="5" t="n">
        <f aca="false">Combined_Scenarios!W32*Combined_Scenarios!X32</f>
        <v>6.61870503597122</v>
      </c>
      <c r="E32" s="5" t="n">
        <f aca="false">C32+D32</f>
        <v>13.1527050359712</v>
      </c>
      <c r="F32" s="5" t="n">
        <f aca="false">0.5*Combined_Scenarios!Y32</f>
        <v>0.6</v>
      </c>
      <c r="G32" s="5" t="n">
        <f aca="false">Combined_Scenarios!K32*F32</f>
        <v>100</v>
      </c>
      <c r="H32" s="5" t="n">
        <f aca="false">Combined_Scenarios!H32+IF(E32=0,0,G32/E32)</f>
        <v>-0.397001246016631</v>
      </c>
      <c r="I32" s="5" t="n">
        <f aca="false">H32-Combined_Scenarios!H32</f>
        <v>7.60299875398337</v>
      </c>
      <c r="J32" s="5" t="n">
        <f aca="false">E32*I32</f>
        <v>100</v>
      </c>
      <c r="K32" s="5" t="n">
        <f aca="false">0.31*Combined_Scenarios!H32+17.8</f>
        <v>15.32</v>
      </c>
      <c r="L32" s="5" t="n">
        <f aca="false">H32-K32</f>
        <v>-15.7170012460166</v>
      </c>
      <c r="M32" s="5" t="str">
        <f aca="false">IF(AND(H32&gt;=12,H32&lt;=35),"Within safe range","Outside safe range")</f>
        <v>Outside safe range</v>
      </c>
      <c r="N32" s="5" t="n">
        <f aca="false">MAX(0,100-ABS(L32)*8)</f>
        <v>0</v>
      </c>
      <c r="O32" s="5" t="n">
        <f aca="false">MAX(-3,MIN(3,L32/3))</f>
        <v>-3</v>
      </c>
      <c r="P32" s="5" t="n">
        <f aca="false">100-95*EXP(-(0.03353*O32^4+0.2179*O32^2))</f>
        <v>99.1158717152693</v>
      </c>
      <c r="Q32" s="5" t="n">
        <f aca="false">IF(H32&lt;18,E32*(18-H32),0)</f>
        <v>241.970330935252</v>
      </c>
      <c r="R32" s="5" t="n">
        <f aca="false">IF(H32&gt;26,E32*(H32-26),0)</f>
        <v>0</v>
      </c>
      <c r="S32" s="5" t="n">
        <f aca="false">Q32+R32</f>
        <v>241.970330935252</v>
      </c>
      <c r="T32" s="5" t="n">
        <f aca="false">MAX(0,100-S32/5)</f>
        <v>51.6059338129496</v>
      </c>
      <c r="U32" s="5" t="n">
        <f aca="false">(N32+T32)/2</f>
        <v>25.8029669064748</v>
      </c>
      <c r="V32" s="5" t="str">
        <f aca="false">IF(U32&gt;=60,"Recommended","Not Recommended")</f>
        <v>Not Recommended</v>
      </c>
      <c r="W32" s="5" t="str">
        <f aca="false">IF(Q32&gt;0,"Increase insulation thickness or reduce opening area to cut heat loss",IF(R32&gt;0,"Increase shading/ventilation or reduce solar-facing openings to cut heat gain","Design meets estimated comfort band without major changes"))</f>
        <v>Increase insulation thickness or reduce opening area to cut heat loss</v>
      </c>
      <c r="X32" s="5" t="s">
        <v>555</v>
      </c>
    </row>
    <row r="33" customFormat="false" ht="15" hidden="false" customHeight="false" outlineLevel="0" collapsed="false">
      <c r="A33" s="5" t="str">
        <f aca="false">Combined_Scenarios!A33</f>
        <v>S032</v>
      </c>
      <c r="B33" s="5" t="n">
        <f aca="false">0.5+Combined_Scenarios!AA33*10</f>
        <v>0.916666666666667</v>
      </c>
      <c r="C33" s="5" t="n">
        <f aca="false">0.33*B33*Combined_Scenarios!Z33</f>
        <v>6.534</v>
      </c>
      <c r="D33" s="5" t="n">
        <f aca="false">Combined_Scenarios!W33*Combined_Scenarios!X33</f>
        <v>6.61870503597122</v>
      </c>
      <c r="E33" s="5" t="n">
        <f aca="false">C33+D33</f>
        <v>13.1527050359712</v>
      </c>
      <c r="F33" s="5" t="n">
        <f aca="false">0.5*Combined_Scenarios!Y33</f>
        <v>0.6</v>
      </c>
      <c r="G33" s="5" t="n">
        <f aca="false">Combined_Scenarios!K33*F33</f>
        <v>162.5</v>
      </c>
      <c r="H33" s="5" t="n">
        <f aca="false">Combined_Scenarios!H33+IF(E33=0,0,G33/E33)</f>
        <v>19.354872975223</v>
      </c>
      <c r="I33" s="5" t="n">
        <f aca="false">H33-Combined_Scenarios!H33</f>
        <v>12.354872975223</v>
      </c>
      <c r="J33" s="5" t="n">
        <f aca="false">E33*I33</f>
        <v>162.5</v>
      </c>
      <c r="K33" s="5" t="n">
        <f aca="false">0.31*Combined_Scenarios!H33+17.8</f>
        <v>19.97</v>
      </c>
      <c r="L33" s="5" t="n">
        <f aca="false">H33-K33</f>
        <v>-0.615127024777024</v>
      </c>
      <c r="M33" s="5" t="str">
        <f aca="false">IF(AND(H33&gt;=12,H33&lt;=35),"Within safe range","Outside safe range")</f>
        <v>Within safe range</v>
      </c>
      <c r="N33" s="5" t="n">
        <f aca="false">MAX(0,100-ABS(L33)*8)</f>
        <v>95.0789838017838</v>
      </c>
      <c r="O33" s="5" t="n">
        <f aca="false">MAX(-3,MIN(3,L33/3))</f>
        <v>-0.205042341592341</v>
      </c>
      <c r="P33" s="5" t="n">
        <f aca="false">100-95*EXP(-(0.03353*O33^4+0.2179*O33^2))</f>
        <v>5.8719024325958</v>
      </c>
      <c r="Q33" s="5" t="n">
        <f aca="false">IF(H33&lt;18,E33*(18-H33),0)</f>
        <v>0</v>
      </c>
      <c r="R33" s="5" t="n">
        <f aca="false">IF(H33&gt;26,E33*(H33-26),0)</f>
        <v>0</v>
      </c>
      <c r="S33" s="5" t="n">
        <f aca="false">Q33+R33</f>
        <v>0</v>
      </c>
      <c r="T33" s="5" t="n">
        <f aca="false">MAX(0,100-S33/5)</f>
        <v>100</v>
      </c>
      <c r="U33" s="5" t="n">
        <f aca="false">(N33+T33)/2</f>
        <v>97.5394919008919</v>
      </c>
      <c r="V33" s="5" t="str">
        <f aca="false">IF(U33&gt;=60,"Recommended","Not Recommended")</f>
        <v>Recommended</v>
      </c>
      <c r="W33" s="5" t="str">
        <f aca="false">IF(Q33&gt;0,"Increase insulation thickness or reduce opening area to cut heat loss",IF(R33&gt;0,"Increase shading/ventilation or reduce solar-facing openings to cut heat gain","Design meets estimated comfort band without major changes"))</f>
        <v>Design meets estimated comfort band without major changes</v>
      </c>
      <c r="X33" s="5" t="s">
        <v>555</v>
      </c>
    </row>
    <row r="34" customFormat="false" ht="15" hidden="false" customHeight="false" outlineLevel="0" collapsed="false">
      <c r="A34" s="5" t="str">
        <f aca="false">Combined_Scenarios!A34</f>
        <v>S033</v>
      </c>
      <c r="B34" s="5" t="n">
        <f aca="false">0.5+Combined_Scenarios!AA34*10</f>
        <v>0.916666666666667</v>
      </c>
      <c r="C34" s="5" t="n">
        <f aca="false">0.33*B34*Combined_Scenarios!Z34</f>
        <v>6.534</v>
      </c>
      <c r="D34" s="5" t="n">
        <f aca="false">Combined_Scenarios!W34*Combined_Scenarios!X34</f>
        <v>6.61870503597122</v>
      </c>
      <c r="E34" s="5" t="n">
        <f aca="false">C34+D34</f>
        <v>13.1527050359712</v>
      </c>
      <c r="F34" s="5" t="n">
        <f aca="false">0.5*Combined_Scenarios!Y34</f>
        <v>0.6</v>
      </c>
      <c r="G34" s="5" t="n">
        <f aca="false">Combined_Scenarios!K34*F34</f>
        <v>170</v>
      </c>
      <c r="H34" s="5" t="n">
        <f aca="false">Combined_Scenarios!H34+IF(E34=0,0,G34/E34)</f>
        <v>31.9250978817717</v>
      </c>
      <c r="I34" s="5" t="n">
        <f aca="false">H34-Combined_Scenarios!H34</f>
        <v>12.9250978817717</v>
      </c>
      <c r="J34" s="5" t="n">
        <f aca="false">E34*I34</f>
        <v>170</v>
      </c>
      <c r="K34" s="5" t="n">
        <f aca="false">0.31*Combined_Scenarios!H34+17.8</f>
        <v>23.69</v>
      </c>
      <c r="L34" s="5" t="n">
        <f aca="false">H34-K34</f>
        <v>8.23509788177173</v>
      </c>
      <c r="M34" s="5" t="str">
        <f aca="false">IF(AND(H34&gt;=12,H34&lt;=35),"Within safe range","Outside safe range")</f>
        <v>Within safe range</v>
      </c>
      <c r="N34" s="5" t="n">
        <f aca="false">MAX(0,100-ABS(L34)*8)</f>
        <v>34.1192169458262</v>
      </c>
      <c r="O34" s="5" t="n">
        <f aca="false">MAX(-3,MIN(3,L34/3))</f>
        <v>2.74503262725724</v>
      </c>
      <c r="P34" s="5" t="n">
        <f aca="false">100-95*EXP(-(0.03353*O34^4+0.2179*O34^2))</f>
        <v>97.2594847681123</v>
      </c>
      <c r="Q34" s="5" t="n">
        <f aca="false">IF(H34&lt;18,E34*(18-H34),0)</f>
        <v>0</v>
      </c>
      <c r="R34" s="5" t="n">
        <f aca="false">IF(H34&gt;26,E34*(H34-26),0)</f>
        <v>77.9310647482014</v>
      </c>
      <c r="S34" s="5" t="n">
        <f aca="false">Q34+R34</f>
        <v>77.9310647482014</v>
      </c>
      <c r="T34" s="5" t="n">
        <f aca="false">MAX(0,100-S34/5)</f>
        <v>84.4137870503597</v>
      </c>
      <c r="U34" s="5" t="n">
        <f aca="false">(N34+T34)/2</f>
        <v>59.266501998093</v>
      </c>
      <c r="V34" s="5" t="str">
        <f aca="false">IF(U34&gt;=60,"Recommended","Not Recommended")</f>
        <v>Not Recommended</v>
      </c>
      <c r="W34" s="5" t="str">
        <f aca="false">IF(Q34&gt;0,"Increase insulation thickness or reduce opening area to cut heat loss",IF(R34&gt;0,"Increase shading/ventilation or reduce solar-facing openings to cut heat gain","Design meets estimated comfort band without major changes"))</f>
        <v>Increase shading/ventilation or reduce solar-facing openings to cut heat gain</v>
      </c>
      <c r="X34" s="5" t="s">
        <v>555</v>
      </c>
    </row>
    <row r="35" customFormat="false" ht="15" hidden="false" customHeight="false" outlineLevel="0" collapsed="false">
      <c r="A35" s="5" t="str">
        <f aca="false">Combined_Scenarios!A35</f>
        <v>S034</v>
      </c>
      <c r="B35" s="5" t="n">
        <f aca="false">0.5+Combined_Scenarios!AA35*10</f>
        <v>0.916666666666667</v>
      </c>
      <c r="C35" s="5" t="n">
        <f aca="false">0.33*B35*Combined_Scenarios!Z35</f>
        <v>6.534</v>
      </c>
      <c r="D35" s="5" t="n">
        <f aca="false">Combined_Scenarios!W35*Combined_Scenarios!X35</f>
        <v>6.61870503597122</v>
      </c>
      <c r="E35" s="5" t="n">
        <f aca="false">C35+D35</f>
        <v>13.1527050359712</v>
      </c>
      <c r="F35" s="5" t="n">
        <f aca="false">0.5*Combined_Scenarios!Y35</f>
        <v>0.6</v>
      </c>
      <c r="G35" s="5" t="n">
        <f aca="false">Combined_Scenarios!K35*F35</f>
        <v>150</v>
      </c>
      <c r="H35" s="5" t="n">
        <f aca="false">Combined_Scenarios!H35+IF(E35=0,0,G35/E35)</f>
        <v>25.4044981309751</v>
      </c>
      <c r="I35" s="5" t="n">
        <f aca="false">H35-Combined_Scenarios!H35</f>
        <v>11.4044981309751</v>
      </c>
      <c r="J35" s="5" t="n">
        <f aca="false">E35*I35</f>
        <v>150</v>
      </c>
      <c r="K35" s="5" t="n">
        <f aca="false">0.31*Combined_Scenarios!H35+17.8</f>
        <v>22.14</v>
      </c>
      <c r="L35" s="5" t="n">
        <f aca="false">H35-K35</f>
        <v>3.26449813097505</v>
      </c>
      <c r="M35" s="5" t="str">
        <f aca="false">IF(AND(H35&gt;=12,H35&lt;=35),"Within safe range","Outside safe range")</f>
        <v>Within safe range</v>
      </c>
      <c r="N35" s="5" t="n">
        <f aca="false">MAX(0,100-ABS(L35)*8)</f>
        <v>73.8840149521996</v>
      </c>
      <c r="O35" s="5" t="n">
        <f aca="false">MAX(-3,MIN(3,L35/3))</f>
        <v>1.08816604365835</v>
      </c>
      <c r="P35" s="5" t="n">
        <f aca="false">100-95*EXP(-(0.03353*O35^4+0.2179*O35^2))</f>
        <v>29.9753206194942</v>
      </c>
      <c r="Q35" s="5" t="n">
        <f aca="false">IF(H35&lt;18,E35*(18-H35),0)</f>
        <v>0</v>
      </c>
      <c r="R35" s="5" t="n">
        <f aca="false">IF(H35&gt;26,E35*(H35-26),0)</f>
        <v>0</v>
      </c>
      <c r="S35" s="5" t="n">
        <f aca="false">Q35+R35</f>
        <v>0</v>
      </c>
      <c r="T35" s="5" t="n">
        <f aca="false">MAX(0,100-S35/5)</f>
        <v>100</v>
      </c>
      <c r="U35" s="5" t="n">
        <f aca="false">(N35+T35)/2</f>
        <v>86.9420074760998</v>
      </c>
      <c r="V35" s="5" t="str">
        <f aca="false">IF(U35&gt;=60,"Recommended","Not Recommended")</f>
        <v>Recommended</v>
      </c>
      <c r="W35" s="5" t="str">
        <f aca="false">IF(Q35&gt;0,"Increase insulation thickness or reduce opening area to cut heat loss",IF(R35&gt;0,"Increase shading/ventilation or reduce solar-facing openings to cut heat gain","Design meets estimated comfort band without major changes"))</f>
        <v>Design meets estimated comfort band without major changes</v>
      </c>
      <c r="X35" s="5" t="s">
        <v>555</v>
      </c>
    </row>
    <row r="36" customFormat="false" ht="15" hidden="false" customHeight="false" outlineLevel="0" collapsed="false">
      <c r="A36" s="5" t="str">
        <f aca="false">Combined_Scenarios!A36</f>
        <v>S035</v>
      </c>
      <c r="B36" s="5" t="n">
        <f aca="false">0.5+Combined_Scenarios!AA36*10</f>
        <v>0.916666666666667</v>
      </c>
      <c r="C36" s="5" t="n">
        <f aca="false">0.33*B36*Combined_Scenarios!Z36</f>
        <v>6.534</v>
      </c>
      <c r="D36" s="5" t="n">
        <f aca="false">Combined_Scenarios!W36*Combined_Scenarios!X36</f>
        <v>6.61870503597122</v>
      </c>
      <c r="E36" s="5" t="n">
        <f aca="false">C36+D36</f>
        <v>13.1527050359712</v>
      </c>
      <c r="F36" s="5" t="n">
        <f aca="false">0.5*Combined_Scenarios!Y36</f>
        <v>0.6</v>
      </c>
      <c r="G36" s="5" t="n">
        <f aca="false">Combined_Scenarios!K36*F36</f>
        <v>105</v>
      </c>
      <c r="H36" s="5" t="n">
        <f aca="false">Combined_Scenarios!H36+IF(E36=0,0,G36/E36)</f>
        <v>6.98314869168254</v>
      </c>
      <c r="I36" s="5" t="n">
        <f aca="false">H36-Combined_Scenarios!H36</f>
        <v>7.98314869168254</v>
      </c>
      <c r="J36" s="5" t="n">
        <f aca="false">E36*I36</f>
        <v>105</v>
      </c>
      <c r="K36" s="5" t="n">
        <f aca="false">0.31*Combined_Scenarios!H36+17.8</f>
        <v>17.49</v>
      </c>
      <c r="L36" s="5" t="n">
        <f aca="false">H36-K36</f>
        <v>-10.5068513083175</v>
      </c>
      <c r="M36" s="5" t="str">
        <f aca="false">IF(AND(H36&gt;=12,H36&lt;=35),"Within safe range","Outside safe range")</f>
        <v>Outside safe range</v>
      </c>
      <c r="N36" s="5" t="n">
        <f aca="false">MAX(0,100-ABS(L36)*8)</f>
        <v>15.9451895334603</v>
      </c>
      <c r="O36" s="5" t="n">
        <f aca="false">MAX(-3,MIN(3,L36/3))</f>
        <v>-3</v>
      </c>
      <c r="P36" s="5" t="n">
        <f aca="false">100-95*EXP(-(0.03353*O36^4+0.2179*O36^2))</f>
        <v>99.1158717152693</v>
      </c>
      <c r="Q36" s="5" t="n">
        <f aca="false">IF(H36&lt;18,E36*(18-H36),0)</f>
        <v>144.901395683453</v>
      </c>
      <c r="R36" s="5" t="n">
        <f aca="false">IF(H36&gt;26,E36*(H36-26),0)</f>
        <v>0</v>
      </c>
      <c r="S36" s="5" t="n">
        <f aca="false">Q36+R36</f>
        <v>144.901395683453</v>
      </c>
      <c r="T36" s="5" t="n">
        <f aca="false">MAX(0,100-S36/5)</f>
        <v>71.0197208633094</v>
      </c>
      <c r="U36" s="5" t="n">
        <f aca="false">(N36+T36)/2</f>
        <v>43.4824551983848</v>
      </c>
      <c r="V36" s="5" t="str">
        <f aca="false">IF(U36&gt;=60,"Recommended","Not Recommended")</f>
        <v>Not Recommended</v>
      </c>
      <c r="W36" s="5" t="str">
        <f aca="false">IF(Q36&gt;0,"Increase insulation thickness or reduce opening area to cut heat loss",IF(R36&gt;0,"Increase shading/ventilation or reduce solar-facing openings to cut heat gain","Design meets estimated comfort band without major changes"))</f>
        <v>Increase insulation thickness or reduce opening area to cut heat loss</v>
      </c>
      <c r="X36" s="5" t="s">
        <v>555</v>
      </c>
    </row>
    <row r="37" customFormat="false" ht="15" hidden="false" customHeight="false" outlineLevel="0" collapsed="false">
      <c r="A37" s="5" t="str">
        <f aca="false">Combined_Scenarios!A37</f>
        <v>S036</v>
      </c>
      <c r="B37" s="5" t="n">
        <f aca="false">0.5+Combined_Scenarios!AA37*10</f>
        <v>0.884615384615385</v>
      </c>
      <c r="C37" s="5" t="n">
        <f aca="false">0.33*B37*Combined_Scenarios!Z37</f>
        <v>15.18</v>
      </c>
      <c r="D37" s="5" t="n">
        <f aca="false">Combined_Scenarios!W37*Combined_Scenarios!X37</f>
        <v>10.7913669064748</v>
      </c>
      <c r="E37" s="5" t="n">
        <f aca="false">C37+D37</f>
        <v>25.9713669064748</v>
      </c>
      <c r="F37" s="5" t="n">
        <f aca="false">0.5*Combined_Scenarios!Y37</f>
        <v>0.9</v>
      </c>
      <c r="G37" s="5" t="n">
        <f aca="false">Combined_Scenarios!K37*F37</f>
        <v>150</v>
      </c>
      <c r="H37" s="5" t="n">
        <f aca="false">Combined_Scenarios!H37+IF(E37=0,0,G37/E37)</f>
        <v>-2.22440872903751</v>
      </c>
      <c r="I37" s="5" t="n">
        <f aca="false">H37-Combined_Scenarios!H37</f>
        <v>5.77559127096249</v>
      </c>
      <c r="J37" s="5" t="n">
        <f aca="false">E37*I37</f>
        <v>150</v>
      </c>
      <c r="K37" s="5" t="n">
        <f aca="false">0.31*Combined_Scenarios!H37+17.8</f>
        <v>15.32</v>
      </c>
      <c r="L37" s="5" t="n">
        <f aca="false">H37-K37</f>
        <v>-17.5444087290375</v>
      </c>
      <c r="M37" s="5" t="str">
        <f aca="false">IF(AND(H37&gt;=12,H37&lt;=35),"Within safe range","Outside safe range")</f>
        <v>Outside safe range</v>
      </c>
      <c r="N37" s="5" t="n">
        <f aca="false">MAX(0,100-ABS(L37)*8)</f>
        <v>0</v>
      </c>
      <c r="O37" s="5" t="n">
        <f aca="false">MAX(-3,MIN(3,L37/3))</f>
        <v>-3</v>
      </c>
      <c r="P37" s="5" t="n">
        <f aca="false">100-95*EXP(-(0.03353*O37^4+0.2179*O37^2))</f>
        <v>99.1158717152693</v>
      </c>
      <c r="Q37" s="5" t="n">
        <f aca="false">IF(H37&lt;18,E37*(18-H37),0)</f>
        <v>525.255539568345</v>
      </c>
      <c r="R37" s="5" t="n">
        <f aca="false">IF(H37&gt;26,E37*(H37-26),0)</f>
        <v>0</v>
      </c>
      <c r="S37" s="5" t="n">
        <f aca="false">Q37+R37</f>
        <v>525.255539568345</v>
      </c>
      <c r="T37" s="5" t="n">
        <f aca="false">MAX(0,100-S37/5)</f>
        <v>0</v>
      </c>
      <c r="U37" s="5" t="n">
        <f aca="false">(N37+T37)/2</f>
        <v>0</v>
      </c>
      <c r="V37" s="5" t="str">
        <f aca="false">IF(U37&gt;=60,"Recommended","Not Recommended")</f>
        <v>Not Recommended</v>
      </c>
      <c r="W37" s="5" t="str">
        <f aca="false">IF(Q37&gt;0,"Increase insulation thickness or reduce opening area to cut heat loss",IF(R37&gt;0,"Increase shading/ventilation or reduce solar-facing openings to cut heat gain","Design meets estimated comfort band without major changes"))</f>
        <v>Increase insulation thickness or reduce opening area to cut heat loss</v>
      </c>
      <c r="X37" s="5" t="s">
        <v>555</v>
      </c>
    </row>
    <row r="38" customFormat="false" ht="15" hidden="false" customHeight="false" outlineLevel="0" collapsed="false">
      <c r="A38" s="5" t="str">
        <f aca="false">Combined_Scenarios!A38</f>
        <v>S037</v>
      </c>
      <c r="B38" s="5" t="n">
        <f aca="false">0.5+Combined_Scenarios!AA38*10</f>
        <v>0.884615384615385</v>
      </c>
      <c r="C38" s="5" t="n">
        <f aca="false">0.33*B38*Combined_Scenarios!Z38</f>
        <v>15.18</v>
      </c>
      <c r="D38" s="5" t="n">
        <f aca="false">Combined_Scenarios!W38*Combined_Scenarios!X38</f>
        <v>10.7913669064748</v>
      </c>
      <c r="E38" s="5" t="n">
        <f aca="false">C38+D38</f>
        <v>25.9713669064748</v>
      </c>
      <c r="F38" s="5" t="n">
        <f aca="false">0.5*Combined_Scenarios!Y38</f>
        <v>0.9</v>
      </c>
      <c r="G38" s="5" t="n">
        <f aca="false">Combined_Scenarios!K38*F38</f>
        <v>243.75</v>
      </c>
      <c r="H38" s="5" t="n">
        <f aca="false">Combined_Scenarios!H38+IF(E38=0,0,G38/E38)</f>
        <v>16.385335815314</v>
      </c>
      <c r="I38" s="5" t="n">
        <f aca="false">H38-Combined_Scenarios!H38</f>
        <v>9.38533581531404</v>
      </c>
      <c r="J38" s="5" t="n">
        <f aca="false">E38*I38</f>
        <v>243.75</v>
      </c>
      <c r="K38" s="5" t="n">
        <f aca="false">0.31*Combined_Scenarios!H38+17.8</f>
        <v>19.97</v>
      </c>
      <c r="L38" s="5" t="n">
        <f aca="false">H38-K38</f>
        <v>-3.58466418468596</v>
      </c>
      <c r="M38" s="5" t="str">
        <f aca="false">IF(AND(H38&gt;=12,H38&lt;=35),"Within safe range","Outside safe range")</f>
        <v>Within safe range</v>
      </c>
      <c r="N38" s="5" t="n">
        <f aca="false">MAX(0,100-ABS(L38)*8)</f>
        <v>71.3226865225124</v>
      </c>
      <c r="O38" s="5" t="n">
        <f aca="false">MAX(-3,MIN(3,L38/3))</f>
        <v>-1.19488806156199</v>
      </c>
      <c r="P38" s="5" t="n">
        <f aca="false">100-95*EXP(-(0.03353*O38^4+0.2179*O38^2))</f>
        <v>34.9980077487828</v>
      </c>
      <c r="Q38" s="5" t="n">
        <f aca="false">IF(H38&lt;18,E38*(18-H38),0)</f>
        <v>41.935035971223</v>
      </c>
      <c r="R38" s="5" t="n">
        <f aca="false">IF(H38&gt;26,E38*(H38-26),0)</f>
        <v>0</v>
      </c>
      <c r="S38" s="5" t="n">
        <f aca="false">Q38+R38</f>
        <v>41.935035971223</v>
      </c>
      <c r="T38" s="5" t="n">
        <f aca="false">MAX(0,100-S38/5)</f>
        <v>91.6129928057554</v>
      </c>
      <c r="U38" s="5" t="n">
        <f aca="false">(N38+T38)/2</f>
        <v>81.4678396641339</v>
      </c>
      <c r="V38" s="5" t="str">
        <f aca="false">IF(U38&gt;=60,"Recommended","Not Recommended")</f>
        <v>Recommended</v>
      </c>
      <c r="W38" s="5" t="str">
        <f aca="false">IF(Q38&gt;0,"Increase insulation thickness or reduce opening area to cut heat loss",IF(R38&gt;0,"Increase shading/ventilation or reduce solar-facing openings to cut heat gain","Design meets estimated comfort band without major changes"))</f>
        <v>Increase insulation thickness or reduce opening area to cut heat loss</v>
      </c>
      <c r="X38" s="5" t="s">
        <v>555</v>
      </c>
    </row>
    <row r="39" customFormat="false" ht="15" hidden="false" customHeight="false" outlineLevel="0" collapsed="false">
      <c r="A39" s="5" t="str">
        <f aca="false">Combined_Scenarios!A39</f>
        <v>S038</v>
      </c>
      <c r="B39" s="5" t="n">
        <f aca="false">0.5+Combined_Scenarios!AA39*10</f>
        <v>0.884615384615385</v>
      </c>
      <c r="C39" s="5" t="n">
        <f aca="false">0.33*B39*Combined_Scenarios!Z39</f>
        <v>15.18</v>
      </c>
      <c r="D39" s="5" t="n">
        <f aca="false">Combined_Scenarios!W39*Combined_Scenarios!X39</f>
        <v>10.7913669064748</v>
      </c>
      <c r="E39" s="5" t="n">
        <f aca="false">C39+D39</f>
        <v>25.9713669064748</v>
      </c>
      <c r="F39" s="5" t="n">
        <f aca="false">0.5*Combined_Scenarios!Y39</f>
        <v>0.9</v>
      </c>
      <c r="G39" s="5" t="n">
        <f aca="false">Combined_Scenarios!K39*F39</f>
        <v>255</v>
      </c>
      <c r="H39" s="5" t="n">
        <f aca="false">Combined_Scenarios!H39+IF(E39=0,0,G39/E39)</f>
        <v>28.8185051606362</v>
      </c>
      <c r="I39" s="5" t="n">
        <f aca="false">H39-Combined_Scenarios!H39</f>
        <v>9.81850516063623</v>
      </c>
      <c r="J39" s="5" t="n">
        <f aca="false">E39*I39</f>
        <v>255</v>
      </c>
      <c r="K39" s="5" t="n">
        <f aca="false">0.31*Combined_Scenarios!H39+17.8</f>
        <v>23.69</v>
      </c>
      <c r="L39" s="5" t="n">
        <f aca="false">H39-K39</f>
        <v>5.12850516063623</v>
      </c>
      <c r="M39" s="5" t="str">
        <f aca="false">IF(AND(H39&gt;=12,H39&lt;=35),"Within safe range","Outside safe range")</f>
        <v>Within safe range</v>
      </c>
      <c r="N39" s="5" t="n">
        <f aca="false">MAX(0,100-ABS(L39)*8)</f>
        <v>58.9719587149102</v>
      </c>
      <c r="O39" s="5" t="n">
        <f aca="false">MAX(-3,MIN(3,L39/3))</f>
        <v>1.70950172021208</v>
      </c>
      <c r="P39" s="5" t="n">
        <f aca="false">100-95*EXP(-(0.03353*O39^4+0.2179*O39^2))</f>
        <v>62.2597489842073</v>
      </c>
      <c r="Q39" s="5" t="n">
        <f aca="false">IF(H39&lt;18,E39*(18-H39),0)</f>
        <v>0</v>
      </c>
      <c r="R39" s="5" t="n">
        <f aca="false">IF(H39&gt;26,E39*(H39-26),0)</f>
        <v>73.2004316546762</v>
      </c>
      <c r="S39" s="5" t="n">
        <f aca="false">Q39+R39</f>
        <v>73.2004316546762</v>
      </c>
      <c r="T39" s="5" t="n">
        <f aca="false">MAX(0,100-S39/5)</f>
        <v>85.3599136690648</v>
      </c>
      <c r="U39" s="5" t="n">
        <f aca="false">(N39+T39)/2</f>
        <v>72.1659361919875</v>
      </c>
      <c r="V39" s="5" t="str">
        <f aca="false">IF(U39&gt;=60,"Recommended","Not Recommended")</f>
        <v>Recommended</v>
      </c>
      <c r="W39" s="5" t="str">
        <f aca="false">IF(Q39&gt;0,"Increase insulation thickness or reduce opening area to cut heat loss",IF(R39&gt;0,"Increase shading/ventilation or reduce solar-facing openings to cut heat gain","Design meets estimated comfort band without major changes"))</f>
        <v>Increase shading/ventilation or reduce solar-facing openings to cut heat gain</v>
      </c>
      <c r="X39" s="5" t="s">
        <v>555</v>
      </c>
    </row>
    <row r="40" customFormat="false" ht="15" hidden="false" customHeight="false" outlineLevel="0" collapsed="false">
      <c r="A40" s="5" t="str">
        <f aca="false">Combined_Scenarios!A40</f>
        <v>S039</v>
      </c>
      <c r="B40" s="5" t="n">
        <f aca="false">0.5+Combined_Scenarios!AA40*10</f>
        <v>0.884615384615385</v>
      </c>
      <c r="C40" s="5" t="n">
        <f aca="false">0.33*B40*Combined_Scenarios!Z40</f>
        <v>15.18</v>
      </c>
      <c r="D40" s="5" t="n">
        <f aca="false">Combined_Scenarios!W40*Combined_Scenarios!X40</f>
        <v>10.7913669064748</v>
      </c>
      <c r="E40" s="5" t="n">
        <f aca="false">C40+D40</f>
        <v>25.9713669064748</v>
      </c>
      <c r="F40" s="5" t="n">
        <f aca="false">0.5*Combined_Scenarios!Y40</f>
        <v>0.9</v>
      </c>
      <c r="G40" s="5" t="n">
        <f aca="false">Combined_Scenarios!K40*F40</f>
        <v>225</v>
      </c>
      <c r="H40" s="5" t="n">
        <f aca="false">Combined_Scenarios!H40+IF(E40=0,0,G40/E40)</f>
        <v>22.6633869064437</v>
      </c>
      <c r="I40" s="5" t="n">
        <f aca="false">H40-Combined_Scenarios!H40</f>
        <v>8.66338690644373</v>
      </c>
      <c r="J40" s="5" t="n">
        <f aca="false">E40*I40</f>
        <v>225</v>
      </c>
      <c r="K40" s="5" t="n">
        <f aca="false">0.31*Combined_Scenarios!H40+17.8</f>
        <v>22.14</v>
      </c>
      <c r="L40" s="5" t="n">
        <f aca="false">H40-K40</f>
        <v>0.523386906443729</v>
      </c>
      <c r="M40" s="5" t="str">
        <f aca="false">IF(AND(H40&gt;=12,H40&lt;=35),"Within safe range","Outside safe range")</f>
        <v>Within safe range</v>
      </c>
      <c r="N40" s="5" t="n">
        <f aca="false">MAX(0,100-ABS(L40)*8)</f>
        <v>95.8129047484502</v>
      </c>
      <c r="O40" s="5" t="n">
        <f aca="false">MAX(-3,MIN(3,L40/3))</f>
        <v>0.17446230214791</v>
      </c>
      <c r="P40" s="5" t="n">
        <f aca="false">100-95*EXP(-(0.03353*O40^4+0.2179*O40^2))</f>
        <v>5.63090973736971</v>
      </c>
      <c r="Q40" s="5" t="n">
        <f aca="false">IF(H40&lt;18,E40*(18-H40),0)</f>
        <v>0</v>
      </c>
      <c r="R40" s="5" t="n">
        <f aca="false">IF(H40&gt;26,E40*(H40-26),0)</f>
        <v>0</v>
      </c>
      <c r="S40" s="5" t="n">
        <f aca="false">Q40+R40</f>
        <v>0</v>
      </c>
      <c r="T40" s="5" t="n">
        <f aca="false">MAX(0,100-S40/5)</f>
        <v>100</v>
      </c>
      <c r="U40" s="5" t="n">
        <f aca="false">(N40+T40)/2</f>
        <v>97.9064523742251</v>
      </c>
      <c r="V40" s="5" t="str">
        <f aca="false">IF(U40&gt;=60,"Recommended","Not Recommended")</f>
        <v>Recommended</v>
      </c>
      <c r="W40" s="5" t="str">
        <f aca="false">IF(Q40&gt;0,"Increase insulation thickness or reduce opening area to cut heat loss",IF(R40&gt;0,"Increase shading/ventilation or reduce solar-facing openings to cut heat gain","Design meets estimated comfort band without major changes"))</f>
        <v>Design meets estimated comfort band without major changes</v>
      </c>
      <c r="X40" s="5" t="s">
        <v>555</v>
      </c>
    </row>
    <row r="41" customFormat="false" ht="15" hidden="false" customHeight="false" outlineLevel="0" collapsed="false">
      <c r="A41" s="5" t="str">
        <f aca="false">Combined_Scenarios!A41</f>
        <v>S040</v>
      </c>
      <c r="B41" s="5" t="n">
        <f aca="false">0.5+Combined_Scenarios!AA41*10</f>
        <v>0.884615384615385</v>
      </c>
      <c r="C41" s="5" t="n">
        <f aca="false">0.33*B41*Combined_Scenarios!Z41</f>
        <v>15.18</v>
      </c>
      <c r="D41" s="5" t="n">
        <f aca="false">Combined_Scenarios!W41*Combined_Scenarios!X41</f>
        <v>10.7913669064748</v>
      </c>
      <c r="E41" s="5" t="n">
        <f aca="false">C41+D41</f>
        <v>25.9713669064748</v>
      </c>
      <c r="F41" s="5" t="n">
        <f aca="false">0.5*Combined_Scenarios!Y41</f>
        <v>0.9</v>
      </c>
      <c r="G41" s="5" t="n">
        <f aca="false">Combined_Scenarios!K41*F41</f>
        <v>157.5</v>
      </c>
      <c r="H41" s="5" t="n">
        <f aca="false">Combined_Scenarios!H41+IF(E41=0,0,G41/E41)</f>
        <v>5.06437083451061</v>
      </c>
      <c r="I41" s="5" t="n">
        <f aca="false">H41-Combined_Scenarios!H41</f>
        <v>6.06437083451061</v>
      </c>
      <c r="J41" s="5" t="n">
        <f aca="false">E41*I41</f>
        <v>157.5</v>
      </c>
      <c r="K41" s="5" t="n">
        <f aca="false">0.31*Combined_Scenarios!H41+17.8</f>
        <v>17.49</v>
      </c>
      <c r="L41" s="5" t="n">
        <f aca="false">H41-K41</f>
        <v>-12.4256291654894</v>
      </c>
      <c r="M41" s="5" t="str">
        <f aca="false">IF(AND(H41&gt;=12,H41&lt;=35),"Within safe range","Outside safe range")</f>
        <v>Outside safe range</v>
      </c>
      <c r="N41" s="5" t="n">
        <f aca="false">MAX(0,100-ABS(L41)*8)</f>
        <v>0.59496667608488</v>
      </c>
      <c r="O41" s="5" t="n">
        <f aca="false">MAX(-3,MIN(3,L41/3))</f>
        <v>-3</v>
      </c>
      <c r="P41" s="5" t="n">
        <f aca="false">100-95*EXP(-(0.03353*O41^4+0.2179*O41^2))</f>
        <v>99.1158717152693</v>
      </c>
      <c r="Q41" s="5" t="n">
        <f aca="false">IF(H41&lt;18,E41*(18-H41),0)</f>
        <v>335.955971223022</v>
      </c>
      <c r="R41" s="5" t="n">
        <f aca="false">IF(H41&gt;26,E41*(H41-26),0)</f>
        <v>0</v>
      </c>
      <c r="S41" s="5" t="n">
        <f aca="false">Q41+R41</f>
        <v>335.955971223022</v>
      </c>
      <c r="T41" s="5" t="n">
        <f aca="false">MAX(0,100-S41/5)</f>
        <v>32.8088057553957</v>
      </c>
      <c r="U41" s="5" t="n">
        <f aca="false">(N41+T41)/2</f>
        <v>16.7018862157403</v>
      </c>
      <c r="V41" s="5" t="str">
        <f aca="false">IF(U41&gt;=60,"Recommended","Not Recommended")</f>
        <v>Not Recommended</v>
      </c>
      <c r="W41" s="5" t="str">
        <f aca="false">IF(Q41&gt;0,"Increase insulation thickness or reduce opening area to cut heat loss",IF(R41&gt;0,"Increase shading/ventilation or reduce solar-facing openings to cut heat gain","Design meets estimated comfort band without major changes"))</f>
        <v>Increase insulation thickness or reduce opening area to cut heat loss</v>
      </c>
      <c r="X41" s="5" t="s">
        <v>555</v>
      </c>
    </row>
    <row r="42" customFormat="false" ht="15" hidden="false" customHeight="false" outlineLevel="0" collapsed="false">
      <c r="A42" s="5" t="str">
        <f aca="false">Combined_Scenarios!A42</f>
        <v>S041</v>
      </c>
      <c r="B42" s="5" t="n">
        <f aca="false">0.5+Combined_Scenarios!AA42*10</f>
        <v>0.79585798816568</v>
      </c>
      <c r="C42" s="5" t="n">
        <f aca="false">0.33*B42*Combined_Scenarios!Z42</f>
        <v>7.16988461538462</v>
      </c>
      <c r="D42" s="5" t="n">
        <f aca="false">Combined_Scenarios!W42*Combined_Scenarios!X42</f>
        <v>65.7879656160458</v>
      </c>
      <c r="E42" s="5" t="n">
        <f aca="false">C42+D42</f>
        <v>72.9578502314305</v>
      </c>
      <c r="F42" s="5" t="n">
        <f aca="false">0.5*Combined_Scenarios!Y42</f>
        <v>0.5</v>
      </c>
      <c r="G42" s="5" t="n">
        <f aca="false">Combined_Scenarios!K42*F42</f>
        <v>93.75</v>
      </c>
      <c r="H42" s="5" t="n">
        <f aca="false">Combined_Scenarios!H42+IF(E42=0,0,G42/E42)</f>
        <v>16.2849885201197</v>
      </c>
      <c r="I42" s="5" t="n">
        <f aca="false">H42-Combined_Scenarios!H42</f>
        <v>1.28498852011969</v>
      </c>
      <c r="J42" s="5" t="n">
        <f aca="false">E42*I42</f>
        <v>93.75</v>
      </c>
      <c r="K42" s="5" t="n">
        <f aca="false">0.31*Combined_Scenarios!H42+17.8</f>
        <v>22.45</v>
      </c>
      <c r="L42" s="5" t="n">
        <f aca="false">H42-K42</f>
        <v>-6.16501147988031</v>
      </c>
      <c r="M42" s="5" t="str">
        <f aca="false">IF(AND(H42&gt;=12,H42&lt;=35),"Within safe range","Outside safe range")</f>
        <v>Within safe range</v>
      </c>
      <c r="N42" s="5" t="n">
        <f aca="false">MAX(0,100-ABS(L42)*8)</f>
        <v>50.6799081609575</v>
      </c>
      <c r="O42" s="5" t="n">
        <f aca="false">MAX(-3,MIN(3,L42/3))</f>
        <v>-2.05500382662677</v>
      </c>
      <c r="P42" s="5" t="n">
        <f aca="false">100-95*EXP(-(0.03353*O42^4+0.2179*O42^2))</f>
        <v>79.1844594434307</v>
      </c>
      <c r="Q42" s="5" t="n">
        <f aca="false">IF(H42&lt;18,E42*(18-H42),0)</f>
        <v>125.123550694291</v>
      </c>
      <c r="R42" s="5" t="n">
        <f aca="false">IF(H42&gt;26,E42*(H42-26),0)</f>
        <v>0</v>
      </c>
      <c r="S42" s="5" t="n">
        <f aca="false">Q42+R42</f>
        <v>125.123550694291</v>
      </c>
      <c r="T42" s="5" t="n">
        <f aca="false">MAX(0,100-S42/5)</f>
        <v>74.9752898611417</v>
      </c>
      <c r="U42" s="5" t="n">
        <f aca="false">(N42+T42)/2</f>
        <v>62.8275990110496</v>
      </c>
      <c r="V42" s="5" t="str">
        <f aca="false">IF(U42&gt;=60,"Recommended","Not Recommended")</f>
        <v>Recommended</v>
      </c>
      <c r="W42" s="5" t="str">
        <f aca="false">IF(Q42&gt;0,"Increase insulation thickness or reduce opening area to cut heat loss",IF(R42&gt;0,"Increase shading/ventilation or reduce solar-facing openings to cut heat gain","Design meets estimated comfort band without major changes"))</f>
        <v>Increase insulation thickness or reduce opening area to cut heat loss</v>
      </c>
      <c r="X42" s="5" t="s">
        <v>555</v>
      </c>
    </row>
    <row r="43" customFormat="false" ht="15" hidden="false" customHeight="false" outlineLevel="0" collapsed="false">
      <c r="A43" s="5" t="str">
        <f aca="false">Combined_Scenarios!A43</f>
        <v>S042</v>
      </c>
      <c r="B43" s="5" t="n">
        <f aca="false">0.5+Combined_Scenarios!AA43*10</f>
        <v>0.79585798816568</v>
      </c>
      <c r="C43" s="5" t="n">
        <f aca="false">0.33*B43*Combined_Scenarios!Z43</f>
        <v>7.16988461538462</v>
      </c>
      <c r="D43" s="5" t="n">
        <f aca="false">Combined_Scenarios!W43*Combined_Scenarios!X43</f>
        <v>65.7879656160458</v>
      </c>
      <c r="E43" s="5" t="n">
        <f aca="false">C43+D43</f>
        <v>72.9578502314305</v>
      </c>
      <c r="F43" s="5" t="n">
        <f aca="false">0.5*Combined_Scenarios!Y43</f>
        <v>0.5</v>
      </c>
      <c r="G43" s="5" t="n">
        <f aca="false">Combined_Scenarios!K43*F43</f>
        <v>141.666666666667</v>
      </c>
      <c r="H43" s="5" t="n">
        <f aca="false">Combined_Scenarios!H43+IF(E43=0,0,G43/E43)</f>
        <v>33.9417604304031</v>
      </c>
      <c r="I43" s="5" t="n">
        <f aca="false">H43-Combined_Scenarios!H43</f>
        <v>1.94176043040309</v>
      </c>
      <c r="J43" s="5" t="n">
        <f aca="false">E43*I43</f>
        <v>141.666666666667</v>
      </c>
      <c r="K43" s="5" t="n">
        <f aca="false">0.31*Combined_Scenarios!H43+17.8</f>
        <v>27.72</v>
      </c>
      <c r="L43" s="5" t="n">
        <f aca="false">H43-K43</f>
        <v>6.22176043040309</v>
      </c>
      <c r="M43" s="5" t="str">
        <f aca="false">IF(AND(H43&gt;=12,H43&lt;=35),"Within safe range","Outside safe range")</f>
        <v>Within safe range</v>
      </c>
      <c r="N43" s="5" t="n">
        <f aca="false">MAX(0,100-ABS(L43)*8)</f>
        <v>50.2259165567752</v>
      </c>
      <c r="O43" s="5" t="n">
        <f aca="false">MAX(-3,MIN(3,L43/3))</f>
        <v>2.0739201434677</v>
      </c>
      <c r="P43" s="5" t="n">
        <f aca="false">100-95*EXP(-(0.03353*O43^4+0.2179*O43^2))</f>
        <v>79.9874894998495</v>
      </c>
      <c r="Q43" s="5" t="n">
        <f aca="false">IF(H43&lt;18,E43*(18-H43),0)</f>
        <v>0</v>
      </c>
      <c r="R43" s="5" t="n">
        <f aca="false">IF(H43&gt;26,E43*(H43-26),0)</f>
        <v>579.41376805525</v>
      </c>
      <c r="S43" s="5" t="n">
        <f aca="false">Q43+R43</f>
        <v>579.41376805525</v>
      </c>
      <c r="T43" s="5" t="n">
        <f aca="false">MAX(0,100-S43/5)</f>
        <v>0</v>
      </c>
      <c r="U43" s="5" t="n">
        <f aca="false">(N43+T43)/2</f>
        <v>25.1129582783876</v>
      </c>
      <c r="V43" s="5" t="str">
        <f aca="false">IF(U43&gt;=60,"Recommended","Not Recommended")</f>
        <v>Not Recommended</v>
      </c>
      <c r="W43" s="5" t="str">
        <f aca="false">IF(Q43&gt;0,"Increase insulation thickness or reduce opening area to cut heat loss",IF(R43&gt;0,"Increase shading/ventilation or reduce solar-facing openings to cut heat gain","Design meets estimated comfort band without major changes"))</f>
        <v>Increase shading/ventilation or reduce solar-facing openings to cut heat gain</v>
      </c>
      <c r="X43" s="5" t="s">
        <v>555</v>
      </c>
    </row>
    <row r="44" customFormat="false" ht="15" hidden="false" customHeight="false" outlineLevel="0" collapsed="false">
      <c r="A44" s="5" t="str">
        <f aca="false">Combined_Scenarios!A44</f>
        <v>S043</v>
      </c>
      <c r="B44" s="5" t="n">
        <f aca="false">0.5+Combined_Scenarios!AA44*10</f>
        <v>0.79585798816568</v>
      </c>
      <c r="C44" s="5" t="n">
        <f aca="false">0.33*B44*Combined_Scenarios!Z44</f>
        <v>7.16988461538462</v>
      </c>
      <c r="D44" s="5" t="n">
        <f aca="false">Combined_Scenarios!W44*Combined_Scenarios!X44</f>
        <v>65.7879656160458</v>
      </c>
      <c r="E44" s="5" t="n">
        <f aca="false">C44+D44</f>
        <v>72.9578502314305</v>
      </c>
      <c r="F44" s="5" t="n">
        <f aca="false">0.5*Combined_Scenarios!Y44</f>
        <v>0.5</v>
      </c>
      <c r="G44" s="5" t="n">
        <f aca="false">Combined_Scenarios!K44*F44</f>
        <v>114.583333333333</v>
      </c>
      <c r="H44" s="5" t="n">
        <f aca="false">Combined_Scenarios!H44+IF(E44=0,0,G44/E44)</f>
        <v>35.5705415245907</v>
      </c>
      <c r="I44" s="5" t="n">
        <f aca="false">H44-Combined_Scenarios!H44</f>
        <v>1.57054152459074</v>
      </c>
      <c r="J44" s="5" t="n">
        <f aca="false">E44*I44</f>
        <v>114.583333333333</v>
      </c>
      <c r="K44" s="5" t="n">
        <f aca="false">0.31*Combined_Scenarios!H44+17.8</f>
        <v>28.34</v>
      </c>
      <c r="L44" s="5" t="n">
        <f aca="false">H44-K44</f>
        <v>7.23054152459074</v>
      </c>
      <c r="M44" s="5" t="str">
        <f aca="false">IF(AND(H44&gt;=12,H44&lt;=35),"Within safe range","Outside safe range")</f>
        <v>Outside safe range</v>
      </c>
      <c r="N44" s="5" t="n">
        <f aca="false">MAX(0,100-ABS(L44)*8)</f>
        <v>42.1556678032741</v>
      </c>
      <c r="O44" s="5" t="n">
        <f aca="false">MAX(-3,MIN(3,L44/3))</f>
        <v>2.41018050819691</v>
      </c>
      <c r="P44" s="5" t="n">
        <f aca="false">100-95*EXP(-(0.03353*O44^4+0.2179*O44^2))</f>
        <v>91.3577625162201</v>
      </c>
      <c r="Q44" s="5" t="n">
        <f aca="false">IF(H44&lt;18,E44*(18-H44),0)</f>
        <v>0</v>
      </c>
      <c r="R44" s="5" t="n">
        <f aca="false">IF(H44&gt;26,E44*(H44-26),0)</f>
        <v>698.246135184777</v>
      </c>
      <c r="S44" s="5" t="n">
        <f aca="false">Q44+R44</f>
        <v>698.246135184777</v>
      </c>
      <c r="T44" s="5" t="n">
        <f aca="false">MAX(0,100-S44/5)</f>
        <v>0</v>
      </c>
      <c r="U44" s="5" t="n">
        <f aca="false">(N44+T44)/2</f>
        <v>21.0778339016371</v>
      </c>
      <c r="V44" s="5" t="str">
        <f aca="false">IF(U44&gt;=60,"Recommended","Not Recommended")</f>
        <v>Not Recommended</v>
      </c>
      <c r="W44" s="5" t="str">
        <f aca="false">IF(Q44&gt;0,"Increase insulation thickness or reduce opening area to cut heat loss",IF(R44&gt;0,"Increase shading/ventilation or reduce solar-facing openings to cut heat gain","Design meets estimated comfort band without major changes"))</f>
        <v>Increase shading/ventilation or reduce solar-facing openings to cut heat gain</v>
      </c>
      <c r="X44" s="5" t="s">
        <v>555</v>
      </c>
    </row>
    <row r="45" customFormat="false" ht="15" hidden="false" customHeight="false" outlineLevel="0" collapsed="false">
      <c r="A45" s="5" t="str">
        <f aca="false">Combined_Scenarios!A45</f>
        <v>S044</v>
      </c>
      <c r="B45" s="5" t="n">
        <f aca="false">0.5+Combined_Scenarios!AA45*10</f>
        <v>0.79585798816568</v>
      </c>
      <c r="C45" s="5" t="n">
        <f aca="false">0.33*B45*Combined_Scenarios!Z45</f>
        <v>7.16988461538462</v>
      </c>
      <c r="D45" s="5" t="n">
        <f aca="false">Combined_Scenarios!W45*Combined_Scenarios!X45</f>
        <v>65.7879656160458</v>
      </c>
      <c r="E45" s="5" t="n">
        <f aca="false">C45+D45</f>
        <v>72.9578502314305</v>
      </c>
      <c r="F45" s="5" t="n">
        <f aca="false">0.5*Combined_Scenarios!Y45</f>
        <v>0.5</v>
      </c>
      <c r="G45" s="5" t="n">
        <f aca="false">Combined_Scenarios!K45*F45</f>
        <v>120.833333333333</v>
      </c>
      <c r="H45" s="5" t="n">
        <f aca="false">Combined_Scenarios!H45+IF(E45=0,0,G45/E45)</f>
        <v>33.656207425932</v>
      </c>
      <c r="I45" s="5" t="n">
        <f aca="false">H45-Combined_Scenarios!H45</f>
        <v>1.65620742593205</v>
      </c>
      <c r="J45" s="5" t="n">
        <f aca="false">E45*I45</f>
        <v>120.833333333333</v>
      </c>
      <c r="K45" s="5" t="n">
        <f aca="false">0.31*Combined_Scenarios!H45+17.8</f>
        <v>27.72</v>
      </c>
      <c r="L45" s="5" t="n">
        <f aca="false">H45-K45</f>
        <v>5.93620742593205</v>
      </c>
      <c r="M45" s="5" t="str">
        <f aca="false">IF(AND(H45&gt;=12,H45&lt;=35),"Within safe range","Outside safe range")</f>
        <v>Within safe range</v>
      </c>
      <c r="N45" s="5" t="n">
        <f aca="false">MAX(0,100-ABS(L45)*8)</f>
        <v>52.5103405925436</v>
      </c>
      <c r="O45" s="5" t="n">
        <f aca="false">MAX(-3,MIN(3,L45/3))</f>
        <v>1.97873580864402</v>
      </c>
      <c r="P45" s="5" t="n">
        <f aca="false">100-95*EXP(-(0.03353*O45^4+0.2179*O45^2))</f>
        <v>75.7919174765078</v>
      </c>
      <c r="Q45" s="5" t="n">
        <f aca="false">IF(H45&lt;18,E45*(18-H45),0)</f>
        <v>0</v>
      </c>
      <c r="R45" s="5" t="n">
        <f aca="false">IF(H45&gt;26,E45*(H45-26),0)</f>
        <v>558.580434721916</v>
      </c>
      <c r="S45" s="5" t="n">
        <f aca="false">Q45+R45</f>
        <v>558.580434721916</v>
      </c>
      <c r="T45" s="5" t="n">
        <f aca="false">MAX(0,100-S45/5)</f>
        <v>0</v>
      </c>
      <c r="U45" s="5" t="n">
        <f aca="false">(N45+T45)/2</f>
        <v>26.2551702962718</v>
      </c>
      <c r="V45" s="5" t="str">
        <f aca="false">IF(U45&gt;=60,"Recommended","Not Recommended")</f>
        <v>Not Recommended</v>
      </c>
      <c r="W45" s="5" t="str">
        <f aca="false">IF(Q45&gt;0,"Increase insulation thickness or reduce opening area to cut heat loss",IF(R45&gt;0,"Increase shading/ventilation or reduce solar-facing openings to cut heat gain","Design meets estimated comfort band without major changes"))</f>
        <v>Increase shading/ventilation or reduce solar-facing openings to cut heat gain</v>
      </c>
      <c r="X45" s="5" t="s">
        <v>555</v>
      </c>
    </row>
    <row r="46" customFormat="false" ht="15" hidden="false" customHeight="false" outlineLevel="0" collapsed="false">
      <c r="A46" s="5" t="str">
        <f aca="false">Combined_Scenarios!A46</f>
        <v>S045</v>
      </c>
      <c r="B46" s="5" t="n">
        <f aca="false">0.5+Combined_Scenarios!AA46*10</f>
        <v>0.79585798816568</v>
      </c>
      <c r="C46" s="5" t="n">
        <f aca="false">0.33*B46*Combined_Scenarios!Z46</f>
        <v>7.16988461538462</v>
      </c>
      <c r="D46" s="5" t="n">
        <f aca="false">Combined_Scenarios!W46*Combined_Scenarios!X46</f>
        <v>65.7879656160458</v>
      </c>
      <c r="E46" s="5" t="n">
        <f aca="false">C46+D46</f>
        <v>72.9578502314305</v>
      </c>
      <c r="F46" s="5" t="n">
        <f aca="false">0.5*Combined_Scenarios!Y46</f>
        <v>0.5</v>
      </c>
      <c r="G46" s="5" t="n">
        <f aca="false">Combined_Scenarios!K46*F46</f>
        <v>100</v>
      </c>
      <c r="H46" s="5" t="n">
        <f aca="false">Combined_Scenarios!H46+IF(E46=0,0,G46/E46)</f>
        <v>22.370654421461</v>
      </c>
      <c r="I46" s="5" t="n">
        <f aca="false">H46-Combined_Scenarios!H46</f>
        <v>1.370654421461</v>
      </c>
      <c r="J46" s="5" t="n">
        <f aca="false">E46*I46</f>
        <v>99.9999999999999</v>
      </c>
      <c r="K46" s="5" t="n">
        <f aca="false">0.31*Combined_Scenarios!H46+17.8</f>
        <v>24.31</v>
      </c>
      <c r="L46" s="5" t="n">
        <f aca="false">H46-K46</f>
        <v>-1.939345578539</v>
      </c>
      <c r="M46" s="5" t="str">
        <f aca="false">IF(AND(H46&gt;=12,H46&lt;=35),"Within safe range","Outside safe range")</f>
        <v>Within safe range</v>
      </c>
      <c r="N46" s="5" t="n">
        <f aca="false">MAX(0,100-ABS(L46)*8)</f>
        <v>84.485235371688</v>
      </c>
      <c r="O46" s="5" t="n">
        <f aca="false">MAX(-3,MIN(3,L46/3))</f>
        <v>-0.646448526179666</v>
      </c>
      <c r="P46" s="5" t="n">
        <f aca="false">100-95*EXP(-(0.03353*O46^4+0.2179*O46^2))</f>
        <v>13.7748544484272</v>
      </c>
      <c r="Q46" s="5" t="n">
        <f aca="false">IF(H46&lt;18,E46*(18-H46),0)</f>
        <v>0</v>
      </c>
      <c r="R46" s="5" t="n">
        <f aca="false">IF(H46&gt;26,E46*(H46-26),0)</f>
        <v>0</v>
      </c>
      <c r="S46" s="5" t="n">
        <f aca="false">Q46+R46</f>
        <v>0</v>
      </c>
      <c r="T46" s="5" t="n">
        <f aca="false">MAX(0,100-S46/5)</f>
        <v>100</v>
      </c>
      <c r="U46" s="5" t="n">
        <f aca="false">(N46+T46)/2</f>
        <v>92.242617685844</v>
      </c>
      <c r="V46" s="5" t="str">
        <f aca="false">IF(U46&gt;=60,"Recommended","Not Recommended")</f>
        <v>Recommended</v>
      </c>
      <c r="W46" s="5" t="str">
        <f aca="false">IF(Q46&gt;0,"Increase insulation thickness or reduce opening area to cut heat loss",IF(R46&gt;0,"Increase shading/ventilation or reduce solar-facing openings to cut heat gain","Design meets estimated comfort band without major changes"))</f>
        <v>Design meets estimated comfort band without major changes</v>
      </c>
      <c r="X46" s="5" t="s">
        <v>555</v>
      </c>
    </row>
    <row r="47" customFormat="false" ht="15" hidden="false" customHeight="false" outlineLevel="0" collapsed="false">
      <c r="A47" s="5" t="str">
        <f aca="false">Combined_Scenarios!A47</f>
        <v>S046</v>
      </c>
      <c r="B47" s="5" t="n">
        <f aca="false">0.5+Combined_Scenarios!AA47*10</f>
        <v>0.800751879699248</v>
      </c>
      <c r="C47" s="5" t="n">
        <f aca="false">0.33*B47*Combined_Scenarios!Z47</f>
        <v>16.6476315789474</v>
      </c>
      <c r="D47" s="5" t="n">
        <f aca="false">Combined_Scenarios!W47*Combined_Scenarios!X47</f>
        <v>103.495702005731</v>
      </c>
      <c r="E47" s="5" t="n">
        <f aca="false">C47+D47</f>
        <v>120.143333584678</v>
      </c>
      <c r="F47" s="5" t="n">
        <f aca="false">0.5*Combined_Scenarios!Y47</f>
        <v>0.8</v>
      </c>
      <c r="G47" s="5" t="n">
        <f aca="false">Combined_Scenarios!K47*F47</f>
        <v>150</v>
      </c>
      <c r="H47" s="5" t="n">
        <f aca="false">Combined_Scenarios!H47+IF(E47=0,0,G47/E47)</f>
        <v>16.2485087230768</v>
      </c>
      <c r="I47" s="5" t="n">
        <f aca="false">H47-Combined_Scenarios!H47</f>
        <v>1.24850872307683</v>
      </c>
      <c r="J47" s="5" t="n">
        <f aca="false">E47*I47</f>
        <v>150</v>
      </c>
      <c r="K47" s="5" t="n">
        <f aca="false">0.31*Combined_Scenarios!H47+17.8</f>
        <v>22.45</v>
      </c>
      <c r="L47" s="5" t="n">
        <f aca="false">H47-K47</f>
        <v>-6.20149127692317</v>
      </c>
      <c r="M47" s="5" t="str">
        <f aca="false">IF(AND(H47&gt;=12,H47&lt;=35),"Within safe range","Outside safe range")</f>
        <v>Within safe range</v>
      </c>
      <c r="N47" s="5" t="n">
        <f aca="false">MAX(0,100-ABS(L47)*8)</f>
        <v>50.3880697846146</v>
      </c>
      <c r="O47" s="5" t="n">
        <f aca="false">MAX(-3,MIN(3,L47/3))</f>
        <v>-2.06716375897439</v>
      </c>
      <c r="P47" s="5" t="n">
        <f aca="false">100-95*EXP(-(0.03353*O47^4+0.2179*O47^2))</f>
        <v>79.7024950058022</v>
      </c>
      <c r="Q47" s="5" t="n">
        <f aca="false">IF(H47&lt;18,E47*(18-H47),0)</f>
        <v>210.430000754034</v>
      </c>
      <c r="R47" s="5" t="n">
        <f aca="false">IF(H47&gt;26,E47*(H47-26),0)</f>
        <v>0</v>
      </c>
      <c r="S47" s="5" t="n">
        <f aca="false">Q47+R47</f>
        <v>210.430000754034</v>
      </c>
      <c r="T47" s="5" t="n">
        <f aca="false">MAX(0,100-S47/5)</f>
        <v>57.9139998491932</v>
      </c>
      <c r="U47" s="5" t="n">
        <f aca="false">(N47+T47)/2</f>
        <v>54.1510348169039</v>
      </c>
      <c r="V47" s="5" t="str">
        <f aca="false">IF(U47&gt;=60,"Recommended","Not Recommended")</f>
        <v>Not Recommended</v>
      </c>
      <c r="W47" s="5" t="str">
        <f aca="false">IF(Q47&gt;0,"Increase insulation thickness or reduce opening area to cut heat loss",IF(R47&gt;0,"Increase shading/ventilation or reduce solar-facing openings to cut heat gain","Design meets estimated comfort band without major changes"))</f>
        <v>Increase insulation thickness or reduce opening area to cut heat loss</v>
      </c>
      <c r="X47" s="5" t="s">
        <v>555</v>
      </c>
    </row>
    <row r="48" customFormat="false" ht="15" hidden="false" customHeight="false" outlineLevel="0" collapsed="false">
      <c r="A48" s="5" t="str">
        <f aca="false">Combined_Scenarios!A48</f>
        <v>S047</v>
      </c>
      <c r="B48" s="5" t="n">
        <f aca="false">0.5+Combined_Scenarios!AA48*10</f>
        <v>0.800751879699248</v>
      </c>
      <c r="C48" s="5" t="n">
        <f aca="false">0.33*B48*Combined_Scenarios!Z48</f>
        <v>16.6476315789474</v>
      </c>
      <c r="D48" s="5" t="n">
        <f aca="false">Combined_Scenarios!W48*Combined_Scenarios!X48</f>
        <v>103.495702005731</v>
      </c>
      <c r="E48" s="5" t="n">
        <f aca="false">C48+D48</f>
        <v>120.143333584678</v>
      </c>
      <c r="F48" s="5" t="n">
        <f aca="false">0.5*Combined_Scenarios!Y48</f>
        <v>0.8</v>
      </c>
      <c r="G48" s="5" t="n">
        <f aca="false">Combined_Scenarios!K48*F48</f>
        <v>226.666666666667</v>
      </c>
      <c r="H48" s="5" t="n">
        <f aca="false">Combined_Scenarios!H48+IF(E48=0,0,G48/E48)</f>
        <v>33.8866354037605</v>
      </c>
      <c r="I48" s="5" t="n">
        <f aca="false">H48-Combined_Scenarios!H48</f>
        <v>1.88663540376054</v>
      </c>
      <c r="J48" s="5" t="n">
        <f aca="false">E48*I48</f>
        <v>226.666666666667</v>
      </c>
      <c r="K48" s="5" t="n">
        <f aca="false">0.31*Combined_Scenarios!H48+17.8</f>
        <v>27.72</v>
      </c>
      <c r="L48" s="5" t="n">
        <f aca="false">H48-K48</f>
        <v>6.16663540376054</v>
      </c>
      <c r="M48" s="5" t="str">
        <f aca="false">IF(AND(H48&gt;=12,H48&lt;=35),"Within safe range","Outside safe range")</f>
        <v>Within safe range</v>
      </c>
      <c r="N48" s="5" t="n">
        <f aca="false">MAX(0,100-ABS(L48)*8)</f>
        <v>50.6669167699156</v>
      </c>
      <c r="O48" s="5" t="n">
        <f aca="false">MAX(-3,MIN(3,L48/3))</f>
        <v>2.05554513458685</v>
      </c>
      <c r="P48" s="5" t="n">
        <f aca="false">100-95*EXP(-(0.03353*O48^4+0.2179*O48^2))</f>
        <v>79.2076588224178</v>
      </c>
      <c r="Q48" s="5" t="n">
        <f aca="false">IF(H48&lt;18,E48*(18-H48),0)</f>
        <v>0</v>
      </c>
      <c r="R48" s="5" t="n">
        <f aca="false">IF(H48&gt;26,E48*(H48-26),0)</f>
        <v>947.526668174735</v>
      </c>
      <c r="S48" s="5" t="n">
        <f aca="false">Q48+R48</f>
        <v>947.526668174735</v>
      </c>
      <c r="T48" s="5" t="n">
        <f aca="false">MAX(0,100-S48/5)</f>
        <v>0</v>
      </c>
      <c r="U48" s="5" t="n">
        <f aca="false">(N48+T48)/2</f>
        <v>25.3334583849578</v>
      </c>
      <c r="V48" s="5" t="str">
        <f aca="false">IF(U48&gt;=60,"Recommended","Not Recommended")</f>
        <v>Not Recommended</v>
      </c>
      <c r="W48" s="5" t="str">
        <f aca="false">IF(Q48&gt;0,"Increase insulation thickness or reduce opening area to cut heat loss",IF(R48&gt;0,"Increase shading/ventilation or reduce solar-facing openings to cut heat gain","Design meets estimated comfort band without major changes"))</f>
        <v>Increase shading/ventilation or reduce solar-facing openings to cut heat gain</v>
      </c>
      <c r="X48" s="5" t="s">
        <v>555</v>
      </c>
    </row>
    <row r="49" customFormat="false" ht="15" hidden="false" customHeight="false" outlineLevel="0" collapsed="false">
      <c r="A49" s="5" t="str">
        <f aca="false">Combined_Scenarios!A49</f>
        <v>S048</v>
      </c>
      <c r="B49" s="5" t="n">
        <f aca="false">0.5+Combined_Scenarios!AA49*10</f>
        <v>0.800751879699248</v>
      </c>
      <c r="C49" s="5" t="n">
        <f aca="false">0.33*B49*Combined_Scenarios!Z49</f>
        <v>16.6476315789474</v>
      </c>
      <c r="D49" s="5" t="n">
        <f aca="false">Combined_Scenarios!W49*Combined_Scenarios!X49</f>
        <v>103.495702005731</v>
      </c>
      <c r="E49" s="5" t="n">
        <f aca="false">C49+D49</f>
        <v>120.143333584678</v>
      </c>
      <c r="F49" s="5" t="n">
        <f aca="false">0.5*Combined_Scenarios!Y49</f>
        <v>0.8</v>
      </c>
      <c r="G49" s="5" t="n">
        <f aca="false">Combined_Scenarios!K49*F49</f>
        <v>183.333333333333</v>
      </c>
      <c r="H49" s="5" t="n">
        <f aca="false">Combined_Scenarios!H49+IF(E49=0,0,G49/E49)</f>
        <v>35.5259551059828</v>
      </c>
      <c r="I49" s="5" t="n">
        <f aca="false">H49-Combined_Scenarios!H49</f>
        <v>1.5259551059828</v>
      </c>
      <c r="J49" s="5" t="n">
        <f aca="false">E49*I49</f>
        <v>183.333333333334</v>
      </c>
      <c r="K49" s="5" t="n">
        <f aca="false">0.31*Combined_Scenarios!H49+17.8</f>
        <v>28.34</v>
      </c>
      <c r="L49" s="5" t="n">
        <f aca="false">H49-K49</f>
        <v>7.1859551059828</v>
      </c>
      <c r="M49" s="5" t="str">
        <f aca="false">IF(AND(H49&gt;=12,H49&lt;=35),"Within safe range","Outside safe range")</f>
        <v>Outside safe range</v>
      </c>
      <c r="N49" s="5" t="n">
        <f aca="false">MAX(0,100-ABS(L49)*8)</f>
        <v>42.5123591521376</v>
      </c>
      <c r="O49" s="5" t="n">
        <f aca="false">MAX(-3,MIN(3,L49/3))</f>
        <v>2.39531836866093</v>
      </c>
      <c r="P49" s="5" t="n">
        <f aca="false">100-95*EXP(-(0.03353*O49^4+0.2179*O49^2))</f>
        <v>90.9761188021429</v>
      </c>
      <c r="Q49" s="5" t="n">
        <f aca="false">IF(H49&lt;18,E49*(18-H49),0)</f>
        <v>0</v>
      </c>
      <c r="R49" s="5" t="n">
        <f aca="false">IF(H49&gt;26,E49*(H49-26),0)</f>
        <v>1144.48000201076</v>
      </c>
      <c r="S49" s="5" t="n">
        <f aca="false">Q49+R49</f>
        <v>1144.48000201076</v>
      </c>
      <c r="T49" s="5" t="n">
        <f aca="false">MAX(0,100-S49/5)</f>
        <v>0</v>
      </c>
      <c r="U49" s="5" t="n">
        <f aca="false">(N49+T49)/2</f>
        <v>21.2561795760688</v>
      </c>
      <c r="V49" s="5" t="str">
        <f aca="false">IF(U49&gt;=60,"Recommended","Not Recommended")</f>
        <v>Not Recommended</v>
      </c>
      <c r="W49" s="5" t="str">
        <f aca="false">IF(Q49&gt;0,"Increase insulation thickness or reduce opening area to cut heat loss",IF(R49&gt;0,"Increase shading/ventilation or reduce solar-facing openings to cut heat gain","Design meets estimated comfort band without major changes"))</f>
        <v>Increase shading/ventilation or reduce solar-facing openings to cut heat gain</v>
      </c>
      <c r="X49" s="5" t="s">
        <v>555</v>
      </c>
    </row>
    <row r="50" customFormat="false" ht="15" hidden="false" customHeight="false" outlineLevel="0" collapsed="false">
      <c r="A50" s="5" t="str">
        <f aca="false">Combined_Scenarios!A50</f>
        <v>S049</v>
      </c>
      <c r="B50" s="5" t="n">
        <f aca="false">0.5+Combined_Scenarios!AA50*10</f>
        <v>0.800751879699248</v>
      </c>
      <c r="C50" s="5" t="n">
        <f aca="false">0.33*B50*Combined_Scenarios!Z50</f>
        <v>16.6476315789474</v>
      </c>
      <c r="D50" s="5" t="n">
        <f aca="false">Combined_Scenarios!W50*Combined_Scenarios!X50</f>
        <v>103.495702005731</v>
      </c>
      <c r="E50" s="5" t="n">
        <f aca="false">C50+D50</f>
        <v>120.143333584678</v>
      </c>
      <c r="F50" s="5" t="n">
        <f aca="false">0.5*Combined_Scenarios!Y50</f>
        <v>0.8</v>
      </c>
      <c r="G50" s="5" t="n">
        <f aca="false">Combined_Scenarios!K50*F50</f>
        <v>193.333333333333</v>
      </c>
      <c r="H50" s="5" t="n">
        <f aca="false">Combined_Scenarios!H50+IF(E50=0,0,G50/E50)</f>
        <v>33.6091890208546</v>
      </c>
      <c r="I50" s="5" t="n">
        <f aca="false">H50-Combined_Scenarios!H50</f>
        <v>1.60918902085458</v>
      </c>
      <c r="J50" s="5" t="n">
        <f aca="false">E50*I50</f>
        <v>193.333333333333</v>
      </c>
      <c r="K50" s="5" t="n">
        <f aca="false">0.31*Combined_Scenarios!H50+17.8</f>
        <v>27.72</v>
      </c>
      <c r="L50" s="5" t="n">
        <f aca="false">H50-K50</f>
        <v>5.88918902085458</v>
      </c>
      <c r="M50" s="5" t="str">
        <f aca="false">IF(AND(H50&gt;=12,H50&lt;=35),"Within safe range","Outside safe range")</f>
        <v>Within safe range</v>
      </c>
      <c r="N50" s="5" t="n">
        <f aca="false">MAX(0,100-ABS(L50)*8)</f>
        <v>52.8864878331634</v>
      </c>
      <c r="O50" s="5" t="n">
        <f aca="false">MAX(-3,MIN(3,L50/3))</f>
        <v>1.96306300695153</v>
      </c>
      <c r="P50" s="5" t="n">
        <f aca="false">100-95*EXP(-(0.03353*O50^4+0.2179*O50^2))</f>
        <v>75.0657753567695</v>
      </c>
      <c r="Q50" s="5" t="n">
        <f aca="false">IF(H50&lt;18,E50*(18-H50),0)</f>
        <v>0</v>
      </c>
      <c r="R50" s="5" t="n">
        <f aca="false">IF(H50&gt;26,E50*(H50-26),0)</f>
        <v>914.193334841401</v>
      </c>
      <c r="S50" s="5" t="n">
        <f aca="false">Q50+R50</f>
        <v>914.193334841401</v>
      </c>
      <c r="T50" s="5" t="n">
        <f aca="false">MAX(0,100-S50/5)</f>
        <v>0</v>
      </c>
      <c r="U50" s="5" t="n">
        <f aca="false">(N50+T50)/2</f>
        <v>26.4432439165817</v>
      </c>
      <c r="V50" s="5" t="str">
        <f aca="false">IF(U50&gt;=60,"Recommended","Not Recommended")</f>
        <v>Not Recommended</v>
      </c>
      <c r="W50" s="5" t="str">
        <f aca="false">IF(Q50&gt;0,"Increase insulation thickness or reduce opening area to cut heat loss",IF(R50&gt;0,"Increase shading/ventilation or reduce solar-facing openings to cut heat gain","Design meets estimated comfort band without major changes"))</f>
        <v>Increase shading/ventilation or reduce solar-facing openings to cut heat gain</v>
      </c>
      <c r="X50" s="5" t="s">
        <v>555</v>
      </c>
    </row>
    <row r="51" customFormat="false" ht="15" hidden="false" customHeight="false" outlineLevel="0" collapsed="false">
      <c r="A51" s="5" t="str">
        <f aca="false">Combined_Scenarios!A51</f>
        <v>S050</v>
      </c>
      <c r="B51" s="5" t="n">
        <f aca="false">0.5+Combined_Scenarios!AA51*10</f>
        <v>0.800751879699248</v>
      </c>
      <c r="C51" s="5" t="n">
        <f aca="false">0.33*B51*Combined_Scenarios!Z51</f>
        <v>16.6476315789474</v>
      </c>
      <c r="D51" s="5" t="n">
        <f aca="false">Combined_Scenarios!W51*Combined_Scenarios!X51</f>
        <v>103.495702005731</v>
      </c>
      <c r="E51" s="5" t="n">
        <f aca="false">C51+D51</f>
        <v>120.143333584678</v>
      </c>
      <c r="F51" s="5" t="n">
        <f aca="false">0.5*Combined_Scenarios!Y51</f>
        <v>0.8</v>
      </c>
      <c r="G51" s="5" t="n">
        <f aca="false">Combined_Scenarios!K51*F51</f>
        <v>160</v>
      </c>
      <c r="H51" s="5" t="n">
        <f aca="false">Combined_Scenarios!H51+IF(E51=0,0,G51/E51)</f>
        <v>22.3317426379486</v>
      </c>
      <c r="I51" s="5" t="n">
        <f aca="false">H51-Combined_Scenarios!H51</f>
        <v>1.33174263794862</v>
      </c>
      <c r="J51" s="5" t="n">
        <f aca="false">E51*I51</f>
        <v>160</v>
      </c>
      <c r="K51" s="5" t="n">
        <f aca="false">0.31*Combined_Scenarios!H51+17.8</f>
        <v>24.31</v>
      </c>
      <c r="L51" s="5" t="n">
        <f aca="false">H51-K51</f>
        <v>-1.97825736205138</v>
      </c>
      <c r="M51" s="5" t="str">
        <f aca="false">IF(AND(H51&gt;=12,H51&lt;=35),"Within safe range","Outside safe range")</f>
        <v>Within safe range</v>
      </c>
      <c r="N51" s="5" t="n">
        <f aca="false">MAX(0,100-ABS(L51)*8)</f>
        <v>84.1739411035889</v>
      </c>
      <c r="O51" s="5" t="n">
        <f aca="false">MAX(-3,MIN(3,L51/3))</f>
        <v>-0.659419120683795</v>
      </c>
      <c r="P51" s="5" t="n">
        <f aca="false">100-95*EXP(-(0.03353*O51^4+0.2179*O51^2))</f>
        <v>14.1340984670285</v>
      </c>
      <c r="Q51" s="5" t="n">
        <f aca="false">IF(H51&lt;18,E51*(18-H51),0)</f>
        <v>0</v>
      </c>
      <c r="R51" s="5" t="n">
        <f aca="false">IF(H51&gt;26,E51*(H51-26),0)</f>
        <v>0</v>
      </c>
      <c r="S51" s="5" t="n">
        <f aca="false">Q51+R51</f>
        <v>0</v>
      </c>
      <c r="T51" s="5" t="n">
        <f aca="false">MAX(0,100-S51/5)</f>
        <v>100</v>
      </c>
      <c r="U51" s="5" t="n">
        <f aca="false">(N51+T51)/2</f>
        <v>92.0869705517945</v>
      </c>
      <c r="V51" s="5" t="str">
        <f aca="false">IF(U51&gt;=60,"Recommended","Not Recommended")</f>
        <v>Recommended</v>
      </c>
      <c r="W51" s="5" t="str">
        <f aca="false">IF(Q51&gt;0,"Increase insulation thickness or reduce opening area to cut heat loss",IF(R51&gt;0,"Increase shading/ventilation or reduce solar-facing openings to cut heat gain","Design meets estimated comfort band without major changes"))</f>
        <v>Design meets estimated comfort band without major changes</v>
      </c>
      <c r="X51" s="5" t="s">
        <v>555</v>
      </c>
    </row>
    <row r="52" customFormat="false" ht="15" hidden="false" customHeight="false" outlineLevel="0" collapsed="false">
      <c r="A52" s="5" t="str">
        <f aca="false">Combined_Scenarios!A52</f>
        <v>S051</v>
      </c>
      <c r="B52" s="5" t="n">
        <f aca="false">0.5+Combined_Scenarios!AA52*10</f>
        <v>0.79585798816568</v>
      </c>
      <c r="C52" s="5" t="n">
        <f aca="false">0.33*B52*Combined_Scenarios!Z52</f>
        <v>7.16988461538462</v>
      </c>
      <c r="D52" s="5" t="n">
        <f aca="false">Combined_Scenarios!W52*Combined_Scenarios!X52</f>
        <v>22.3690247965052</v>
      </c>
      <c r="E52" s="5" t="n">
        <f aca="false">C52+D52</f>
        <v>29.5389094118899</v>
      </c>
      <c r="F52" s="5" t="n">
        <f aca="false">0.5*Combined_Scenarios!Y52</f>
        <v>0.5</v>
      </c>
      <c r="G52" s="5" t="n">
        <f aca="false">Combined_Scenarios!K52*F52</f>
        <v>93.75</v>
      </c>
      <c r="H52" s="5" t="n">
        <f aca="false">Combined_Scenarios!H52+IF(E52=0,0,G52/E52)</f>
        <v>18.1737800029362</v>
      </c>
      <c r="I52" s="5" t="n">
        <f aca="false">H52-Combined_Scenarios!H52</f>
        <v>3.1737800029362</v>
      </c>
      <c r="J52" s="5" t="n">
        <f aca="false">E52*I52</f>
        <v>93.75</v>
      </c>
      <c r="K52" s="5" t="n">
        <f aca="false">0.31*Combined_Scenarios!H52+17.8</f>
        <v>22.45</v>
      </c>
      <c r="L52" s="5" t="n">
        <f aca="false">H52-K52</f>
        <v>-4.2762199970638</v>
      </c>
      <c r="M52" s="5" t="str">
        <f aca="false">IF(AND(H52&gt;=12,H52&lt;=35),"Within safe range","Outside safe range")</f>
        <v>Within safe range</v>
      </c>
      <c r="N52" s="5" t="n">
        <f aca="false">MAX(0,100-ABS(L52)*8)</f>
        <v>65.7902400234896</v>
      </c>
      <c r="O52" s="5" t="n">
        <f aca="false">MAX(-3,MIN(3,L52/3))</f>
        <v>-1.42540666568793</v>
      </c>
      <c r="P52" s="5" t="n">
        <f aca="false">100-95*EXP(-(0.03353*O52^4+0.2179*O52^2))</f>
        <v>46.8703922514232</v>
      </c>
      <c r="Q52" s="5" t="n">
        <f aca="false">IF(H52&lt;18,E52*(18-H52),0)</f>
        <v>0</v>
      </c>
      <c r="R52" s="5" t="n">
        <f aca="false">IF(H52&gt;26,E52*(H52-26),0)</f>
        <v>0</v>
      </c>
      <c r="S52" s="5" t="n">
        <f aca="false">Q52+R52</f>
        <v>0</v>
      </c>
      <c r="T52" s="5" t="n">
        <f aca="false">MAX(0,100-S52/5)</f>
        <v>100</v>
      </c>
      <c r="U52" s="5" t="n">
        <f aca="false">(N52+T52)/2</f>
        <v>82.8951200117448</v>
      </c>
      <c r="V52" s="5" t="str">
        <f aca="false">IF(U52&gt;=60,"Recommended","Not Recommended")</f>
        <v>Recommended</v>
      </c>
      <c r="W52" s="5" t="str">
        <f aca="false">IF(Q52&gt;0,"Increase insulation thickness or reduce opening area to cut heat loss",IF(R52&gt;0,"Increase shading/ventilation or reduce solar-facing openings to cut heat gain","Design meets estimated comfort band without major changes"))</f>
        <v>Design meets estimated comfort band without major changes</v>
      </c>
      <c r="X52" s="5" t="s">
        <v>555</v>
      </c>
    </row>
    <row r="53" customFormat="false" ht="15" hidden="false" customHeight="false" outlineLevel="0" collapsed="false">
      <c r="A53" s="5" t="str">
        <f aca="false">Combined_Scenarios!A53</f>
        <v>S052</v>
      </c>
      <c r="B53" s="5" t="n">
        <f aca="false">0.5+Combined_Scenarios!AA53*10</f>
        <v>0.79585798816568</v>
      </c>
      <c r="C53" s="5" t="n">
        <f aca="false">0.33*B53*Combined_Scenarios!Z53</f>
        <v>7.16988461538462</v>
      </c>
      <c r="D53" s="5" t="n">
        <f aca="false">Combined_Scenarios!W53*Combined_Scenarios!X53</f>
        <v>22.3690247965052</v>
      </c>
      <c r="E53" s="5" t="n">
        <f aca="false">C53+D53</f>
        <v>29.5389094118899</v>
      </c>
      <c r="F53" s="5" t="n">
        <f aca="false">0.5*Combined_Scenarios!Y53</f>
        <v>0.5</v>
      </c>
      <c r="G53" s="5" t="n">
        <f aca="false">Combined_Scenarios!K53*F53</f>
        <v>141.666666666667</v>
      </c>
      <c r="H53" s="5" t="n">
        <f aca="false">Combined_Scenarios!H53+IF(E53=0,0,G53/E53)</f>
        <v>36.7959342266592</v>
      </c>
      <c r="I53" s="5" t="n">
        <f aca="false">H53-Combined_Scenarios!H53</f>
        <v>4.79593422665915</v>
      </c>
      <c r="J53" s="5" t="n">
        <f aca="false">E53*I53</f>
        <v>141.666666666667</v>
      </c>
      <c r="K53" s="5" t="n">
        <f aca="false">0.31*Combined_Scenarios!H53+17.8</f>
        <v>27.72</v>
      </c>
      <c r="L53" s="5" t="n">
        <f aca="false">H53-K53</f>
        <v>9.07593422665915</v>
      </c>
      <c r="M53" s="5" t="str">
        <f aca="false">IF(AND(H53&gt;=12,H53&lt;=35),"Within safe range","Outside safe range")</f>
        <v>Outside safe range</v>
      </c>
      <c r="N53" s="5" t="n">
        <f aca="false">MAX(0,100-ABS(L53)*8)</f>
        <v>27.3925261867268</v>
      </c>
      <c r="O53" s="5" t="n">
        <f aca="false">MAX(-3,MIN(3,L53/3))</f>
        <v>3</v>
      </c>
      <c r="P53" s="5" t="n">
        <f aca="false">100-95*EXP(-(0.03353*O53^4+0.2179*O53^2))</f>
        <v>99.1158717152693</v>
      </c>
      <c r="Q53" s="5" t="n">
        <f aca="false">IF(H53&lt;18,E53*(18-H53),0)</f>
        <v>0</v>
      </c>
      <c r="R53" s="5" t="n">
        <f aca="false">IF(H53&gt;26,E53*(H53-26),0)</f>
        <v>318.900123138006</v>
      </c>
      <c r="S53" s="5" t="n">
        <f aca="false">Q53+R53</f>
        <v>318.900123138006</v>
      </c>
      <c r="T53" s="5" t="n">
        <f aca="false">MAX(0,100-S53/5)</f>
        <v>36.2199753723989</v>
      </c>
      <c r="U53" s="5" t="n">
        <f aca="false">(N53+T53)/2</f>
        <v>31.8062507795628</v>
      </c>
      <c r="V53" s="5" t="str">
        <f aca="false">IF(U53&gt;=60,"Recommended","Not Recommended")</f>
        <v>Not Recommended</v>
      </c>
      <c r="W53" s="5" t="str">
        <f aca="false">IF(Q53&gt;0,"Increase insulation thickness or reduce opening area to cut heat loss",IF(R53&gt;0,"Increase shading/ventilation or reduce solar-facing openings to cut heat gain","Design meets estimated comfort band without major changes"))</f>
        <v>Increase shading/ventilation or reduce solar-facing openings to cut heat gain</v>
      </c>
      <c r="X53" s="5" t="s">
        <v>555</v>
      </c>
    </row>
    <row r="54" customFormat="false" ht="15" hidden="false" customHeight="false" outlineLevel="0" collapsed="false">
      <c r="A54" s="5" t="str">
        <f aca="false">Combined_Scenarios!A54</f>
        <v>S053</v>
      </c>
      <c r="B54" s="5" t="n">
        <f aca="false">0.5+Combined_Scenarios!AA54*10</f>
        <v>0.79585798816568</v>
      </c>
      <c r="C54" s="5" t="n">
        <f aca="false">0.33*B54*Combined_Scenarios!Z54</f>
        <v>7.16988461538462</v>
      </c>
      <c r="D54" s="5" t="n">
        <f aca="false">Combined_Scenarios!W54*Combined_Scenarios!X54</f>
        <v>22.3690247965052</v>
      </c>
      <c r="E54" s="5" t="n">
        <f aca="false">C54+D54</f>
        <v>29.5389094118899</v>
      </c>
      <c r="F54" s="5" t="n">
        <f aca="false">0.5*Combined_Scenarios!Y54</f>
        <v>0.5</v>
      </c>
      <c r="G54" s="5" t="n">
        <f aca="false">Combined_Scenarios!K54*F54</f>
        <v>114.583333333333</v>
      </c>
      <c r="H54" s="5" t="n">
        <f aca="false">Combined_Scenarios!H54+IF(E54=0,0,G54/E54)</f>
        <v>37.8790644480331</v>
      </c>
      <c r="I54" s="5" t="n">
        <f aca="false">H54-Combined_Scenarios!H54</f>
        <v>3.87906444803313</v>
      </c>
      <c r="J54" s="5" t="n">
        <f aca="false">E54*I54</f>
        <v>114.583333333333</v>
      </c>
      <c r="K54" s="5" t="n">
        <f aca="false">0.31*Combined_Scenarios!H54+17.8</f>
        <v>28.34</v>
      </c>
      <c r="L54" s="5" t="n">
        <f aca="false">H54-K54</f>
        <v>9.53906444803313</v>
      </c>
      <c r="M54" s="5" t="str">
        <f aca="false">IF(AND(H54&gt;=12,H54&lt;=35),"Within safe range","Outside safe range")</f>
        <v>Outside safe range</v>
      </c>
      <c r="N54" s="5" t="n">
        <f aca="false">MAX(0,100-ABS(L54)*8)</f>
        <v>23.6874844157349</v>
      </c>
      <c r="O54" s="5" t="n">
        <f aca="false">MAX(-3,MIN(3,L54/3))</f>
        <v>3</v>
      </c>
      <c r="P54" s="5" t="n">
        <f aca="false">100-95*EXP(-(0.03353*O54^4+0.2179*O54^2))</f>
        <v>99.1158717152693</v>
      </c>
      <c r="Q54" s="5" t="n">
        <f aca="false">IF(H54&lt;18,E54*(18-H54),0)</f>
        <v>0</v>
      </c>
      <c r="R54" s="5" t="n">
        <f aca="false">IF(H54&gt;26,E54*(H54-26),0)</f>
        <v>350.894608628452</v>
      </c>
      <c r="S54" s="5" t="n">
        <f aca="false">Q54+R54</f>
        <v>350.894608628452</v>
      </c>
      <c r="T54" s="5" t="n">
        <f aca="false">MAX(0,100-S54/5)</f>
        <v>29.8210782743096</v>
      </c>
      <c r="U54" s="5" t="n">
        <f aca="false">(N54+T54)/2</f>
        <v>26.7542813450223</v>
      </c>
      <c r="V54" s="5" t="str">
        <f aca="false">IF(U54&gt;=60,"Recommended","Not Recommended")</f>
        <v>Not Recommended</v>
      </c>
      <c r="W54" s="5" t="str">
        <f aca="false">IF(Q54&gt;0,"Increase insulation thickness or reduce opening area to cut heat loss",IF(R54&gt;0,"Increase shading/ventilation or reduce solar-facing openings to cut heat gain","Design meets estimated comfort band without major changes"))</f>
        <v>Increase shading/ventilation or reduce solar-facing openings to cut heat gain</v>
      </c>
      <c r="X54" s="5" t="s">
        <v>555</v>
      </c>
    </row>
    <row r="55" customFormat="false" ht="15" hidden="false" customHeight="false" outlineLevel="0" collapsed="false">
      <c r="A55" s="5" t="str">
        <f aca="false">Combined_Scenarios!A55</f>
        <v>S054</v>
      </c>
      <c r="B55" s="5" t="n">
        <f aca="false">0.5+Combined_Scenarios!AA55*10</f>
        <v>0.79585798816568</v>
      </c>
      <c r="C55" s="5" t="n">
        <f aca="false">0.33*B55*Combined_Scenarios!Z55</f>
        <v>7.16988461538462</v>
      </c>
      <c r="D55" s="5" t="n">
        <f aca="false">Combined_Scenarios!W55*Combined_Scenarios!X55</f>
        <v>22.3690247965052</v>
      </c>
      <c r="E55" s="5" t="n">
        <f aca="false">C55+D55</f>
        <v>29.5389094118899</v>
      </c>
      <c r="F55" s="5" t="n">
        <f aca="false">0.5*Combined_Scenarios!Y55</f>
        <v>0.5</v>
      </c>
      <c r="G55" s="5" t="n">
        <f aca="false">Combined_Scenarios!K55*F55</f>
        <v>120.833333333333</v>
      </c>
      <c r="H55" s="5" t="n">
        <f aca="false">Combined_Scenarios!H55+IF(E55=0,0,G55/E55)</f>
        <v>36.0906497815622</v>
      </c>
      <c r="I55" s="5" t="n">
        <f aca="false">H55-Combined_Scenarios!H55</f>
        <v>4.09064978156222</v>
      </c>
      <c r="J55" s="5" t="n">
        <f aca="false">E55*I55</f>
        <v>120.833333333333</v>
      </c>
      <c r="K55" s="5" t="n">
        <f aca="false">0.31*Combined_Scenarios!H55+17.8</f>
        <v>27.72</v>
      </c>
      <c r="L55" s="5" t="n">
        <f aca="false">H55-K55</f>
        <v>8.37064978156222</v>
      </c>
      <c r="M55" s="5" t="str">
        <f aca="false">IF(AND(H55&gt;=12,H55&lt;=35),"Within safe range","Outside safe range")</f>
        <v>Outside safe range</v>
      </c>
      <c r="N55" s="5" t="n">
        <f aca="false">MAX(0,100-ABS(L55)*8)</f>
        <v>33.0348017475022</v>
      </c>
      <c r="O55" s="5" t="n">
        <f aca="false">MAX(-3,MIN(3,L55/3))</f>
        <v>2.79021659385407</v>
      </c>
      <c r="P55" s="5" t="n">
        <f aca="false">100-95*EXP(-(0.03353*O55^4+0.2179*O55^2))</f>
        <v>97.7177306388308</v>
      </c>
      <c r="Q55" s="5" t="n">
        <f aca="false">IF(H55&lt;18,E55*(18-H55),0)</f>
        <v>0</v>
      </c>
      <c r="R55" s="5" t="n">
        <f aca="false">IF(H55&gt;26,E55*(H55-26),0)</f>
        <v>298.066789804673</v>
      </c>
      <c r="S55" s="5" t="n">
        <f aca="false">Q55+R55</f>
        <v>298.066789804673</v>
      </c>
      <c r="T55" s="5" t="n">
        <f aca="false">MAX(0,100-S55/5)</f>
        <v>40.3866420390655</v>
      </c>
      <c r="U55" s="5" t="n">
        <f aca="false">(N55+T55)/2</f>
        <v>36.7107218932839</v>
      </c>
      <c r="V55" s="5" t="str">
        <f aca="false">IF(U55&gt;=60,"Recommended","Not Recommended")</f>
        <v>Not Recommended</v>
      </c>
      <c r="W55" s="5" t="str">
        <f aca="false">IF(Q55&gt;0,"Increase insulation thickness or reduce opening area to cut heat loss",IF(R55&gt;0,"Increase shading/ventilation or reduce solar-facing openings to cut heat gain","Design meets estimated comfort band without major changes"))</f>
        <v>Increase shading/ventilation or reduce solar-facing openings to cut heat gain</v>
      </c>
      <c r="X55" s="5" t="s">
        <v>555</v>
      </c>
    </row>
    <row r="56" customFormat="false" ht="15" hidden="false" customHeight="false" outlineLevel="0" collapsed="false">
      <c r="A56" s="5" t="str">
        <f aca="false">Combined_Scenarios!A56</f>
        <v>S055</v>
      </c>
      <c r="B56" s="5" t="n">
        <f aca="false">0.5+Combined_Scenarios!AA56*10</f>
        <v>0.79585798816568</v>
      </c>
      <c r="C56" s="5" t="n">
        <f aca="false">0.33*B56*Combined_Scenarios!Z56</f>
        <v>7.16988461538462</v>
      </c>
      <c r="D56" s="5" t="n">
        <f aca="false">Combined_Scenarios!W56*Combined_Scenarios!X56</f>
        <v>22.3690247965052</v>
      </c>
      <c r="E56" s="5" t="n">
        <f aca="false">C56+D56</f>
        <v>29.5389094118899</v>
      </c>
      <c r="F56" s="5" t="n">
        <f aca="false">0.5*Combined_Scenarios!Y56</f>
        <v>0.5</v>
      </c>
      <c r="G56" s="5" t="n">
        <f aca="false">Combined_Scenarios!K56*F56</f>
        <v>100</v>
      </c>
      <c r="H56" s="5" t="n">
        <f aca="false">Combined_Scenarios!H56+IF(E56=0,0,G56/E56)</f>
        <v>24.3853653364653</v>
      </c>
      <c r="I56" s="5" t="n">
        <f aca="false">H56-Combined_Scenarios!H56</f>
        <v>3.38536533646528</v>
      </c>
      <c r="J56" s="5" t="n">
        <f aca="false">E56*I56</f>
        <v>100</v>
      </c>
      <c r="K56" s="5" t="n">
        <f aca="false">0.31*Combined_Scenarios!H56+17.8</f>
        <v>24.31</v>
      </c>
      <c r="L56" s="5" t="n">
        <f aca="false">H56-K56</f>
        <v>0.075365336465282</v>
      </c>
      <c r="M56" s="5" t="str">
        <f aca="false">IF(AND(H56&gt;=12,H56&lt;=35),"Within safe range","Outside safe range")</f>
        <v>Within safe range</v>
      </c>
      <c r="N56" s="5" t="n">
        <f aca="false">MAX(0,100-ABS(L56)*8)</f>
        <v>99.3970773082777</v>
      </c>
      <c r="O56" s="5" t="n">
        <f aca="false">MAX(-3,MIN(3,L56/3))</f>
        <v>0.0251217788217607</v>
      </c>
      <c r="P56" s="5" t="n">
        <f aca="false">100-95*EXP(-(0.03353*O56^4+0.2179*O56^2))</f>
        <v>5.01306453390549</v>
      </c>
      <c r="Q56" s="5" t="n">
        <f aca="false">IF(H56&lt;18,E56*(18-H56),0)</f>
        <v>0</v>
      </c>
      <c r="R56" s="5" t="n">
        <f aca="false">IF(H56&gt;26,E56*(H56-26),0)</f>
        <v>0</v>
      </c>
      <c r="S56" s="5" t="n">
        <f aca="false">Q56+R56</f>
        <v>0</v>
      </c>
      <c r="T56" s="5" t="n">
        <f aca="false">MAX(0,100-S56/5)</f>
        <v>100</v>
      </c>
      <c r="U56" s="5" t="n">
        <f aca="false">(N56+T56)/2</f>
        <v>99.6985386541389</v>
      </c>
      <c r="V56" s="5" t="str">
        <f aca="false">IF(U56&gt;=60,"Recommended","Not Recommended")</f>
        <v>Recommended</v>
      </c>
      <c r="W56" s="5" t="str">
        <f aca="false">IF(Q56&gt;0,"Increase insulation thickness or reduce opening area to cut heat loss",IF(R56&gt;0,"Increase shading/ventilation or reduce solar-facing openings to cut heat gain","Design meets estimated comfort band without major changes"))</f>
        <v>Design meets estimated comfort band without major changes</v>
      </c>
      <c r="X56" s="5" t="s">
        <v>555</v>
      </c>
    </row>
    <row r="57" customFormat="false" ht="15" hidden="false" customHeight="false" outlineLevel="0" collapsed="false">
      <c r="A57" s="5" t="str">
        <f aca="false">Combined_Scenarios!A57</f>
        <v>S056</v>
      </c>
      <c r="B57" s="5" t="n">
        <f aca="false">0.5+Combined_Scenarios!AA57*10</f>
        <v>0.800751879699248</v>
      </c>
      <c r="C57" s="5" t="n">
        <f aca="false">0.33*B57*Combined_Scenarios!Z57</f>
        <v>16.6476315789474</v>
      </c>
      <c r="D57" s="5" t="n">
        <f aca="false">Combined_Scenarios!W57*Combined_Scenarios!X57</f>
        <v>35.1902951066973</v>
      </c>
      <c r="E57" s="5" t="n">
        <f aca="false">C57+D57</f>
        <v>51.8379266856446</v>
      </c>
      <c r="F57" s="5" t="n">
        <f aca="false">0.5*Combined_Scenarios!Y57</f>
        <v>0.8</v>
      </c>
      <c r="G57" s="5" t="n">
        <f aca="false">Combined_Scenarios!K57*F57</f>
        <v>150</v>
      </c>
      <c r="H57" s="5" t="n">
        <f aca="false">Combined_Scenarios!H57+IF(E57=0,0,G57/E57)</f>
        <v>17.8936342479442</v>
      </c>
      <c r="I57" s="5" t="n">
        <f aca="false">H57-Combined_Scenarios!H57</f>
        <v>2.89363424794416</v>
      </c>
      <c r="J57" s="5" t="n">
        <f aca="false">E57*I57</f>
        <v>150</v>
      </c>
      <c r="K57" s="5" t="n">
        <f aca="false">0.31*Combined_Scenarios!H57+17.8</f>
        <v>22.45</v>
      </c>
      <c r="L57" s="5" t="n">
        <f aca="false">H57-K57</f>
        <v>-4.55636575205584</v>
      </c>
      <c r="M57" s="5" t="str">
        <f aca="false">IF(AND(H57&gt;=12,H57&lt;=35),"Within safe range","Outside safe range")</f>
        <v>Within safe range</v>
      </c>
      <c r="N57" s="5" t="n">
        <f aca="false">MAX(0,100-ABS(L57)*8)</f>
        <v>63.5490739835533</v>
      </c>
      <c r="O57" s="5" t="n">
        <f aca="false">MAX(-3,MIN(3,L57/3))</f>
        <v>-1.51878858401861</v>
      </c>
      <c r="P57" s="5" t="n">
        <f aca="false">100-95*EXP(-(0.03353*O57^4+0.2179*O57^2))</f>
        <v>51.9216788875092</v>
      </c>
      <c r="Q57" s="5" t="n">
        <f aca="false">IF(H57&lt;18,E57*(18-H57),0)</f>
        <v>5.51378005693391</v>
      </c>
      <c r="R57" s="5" t="n">
        <f aca="false">IF(H57&gt;26,E57*(H57-26),0)</f>
        <v>0</v>
      </c>
      <c r="S57" s="5" t="n">
        <f aca="false">Q57+R57</f>
        <v>5.51378005693391</v>
      </c>
      <c r="T57" s="5" t="n">
        <f aca="false">MAX(0,100-S57/5)</f>
        <v>98.8972439886132</v>
      </c>
      <c r="U57" s="5" t="n">
        <f aca="false">(N57+T57)/2</f>
        <v>81.2231589860833</v>
      </c>
      <c r="V57" s="5" t="str">
        <f aca="false">IF(U57&gt;=60,"Recommended","Not Recommended")</f>
        <v>Recommended</v>
      </c>
      <c r="W57" s="5" t="str">
        <f aca="false">IF(Q57&gt;0,"Increase insulation thickness or reduce opening area to cut heat loss",IF(R57&gt;0,"Increase shading/ventilation or reduce solar-facing openings to cut heat gain","Design meets estimated comfort band without major changes"))</f>
        <v>Increase insulation thickness or reduce opening area to cut heat loss</v>
      </c>
      <c r="X57" s="5" t="s">
        <v>555</v>
      </c>
    </row>
    <row r="58" customFormat="false" ht="15" hidden="false" customHeight="false" outlineLevel="0" collapsed="false">
      <c r="A58" s="5" t="str">
        <f aca="false">Combined_Scenarios!A58</f>
        <v>S057</v>
      </c>
      <c r="B58" s="5" t="n">
        <f aca="false">0.5+Combined_Scenarios!AA58*10</f>
        <v>0.800751879699248</v>
      </c>
      <c r="C58" s="5" t="n">
        <f aca="false">0.33*B58*Combined_Scenarios!Z58</f>
        <v>16.6476315789474</v>
      </c>
      <c r="D58" s="5" t="n">
        <f aca="false">Combined_Scenarios!W58*Combined_Scenarios!X58</f>
        <v>35.1902951066973</v>
      </c>
      <c r="E58" s="5" t="n">
        <f aca="false">C58+D58</f>
        <v>51.8379266856446</v>
      </c>
      <c r="F58" s="5" t="n">
        <f aca="false">0.5*Combined_Scenarios!Y58</f>
        <v>0.8</v>
      </c>
      <c r="G58" s="5" t="n">
        <f aca="false">Combined_Scenarios!K58*F58</f>
        <v>226.666666666667</v>
      </c>
      <c r="H58" s="5" t="n">
        <f aca="false">Combined_Scenarios!H58+IF(E58=0,0,G58/E58)</f>
        <v>36.3726028635601</v>
      </c>
      <c r="I58" s="5" t="n">
        <f aca="false">H58-Combined_Scenarios!H58</f>
        <v>4.37260286356007</v>
      </c>
      <c r="J58" s="5" t="n">
        <f aca="false">E58*I58</f>
        <v>226.666666666667</v>
      </c>
      <c r="K58" s="5" t="n">
        <f aca="false">0.31*Combined_Scenarios!H58+17.8</f>
        <v>27.72</v>
      </c>
      <c r="L58" s="5" t="n">
        <f aca="false">H58-K58</f>
        <v>8.65260286356007</v>
      </c>
      <c r="M58" s="5" t="str">
        <f aca="false">IF(AND(H58&gt;=12,H58&lt;=35),"Within safe range","Outside safe range")</f>
        <v>Outside safe range</v>
      </c>
      <c r="N58" s="5" t="n">
        <f aca="false">MAX(0,100-ABS(L58)*8)</f>
        <v>30.7791770915194</v>
      </c>
      <c r="O58" s="5" t="n">
        <f aca="false">MAX(-3,MIN(3,L58/3))</f>
        <v>2.88420095452002</v>
      </c>
      <c r="P58" s="5" t="n">
        <f aca="false">100-95*EXP(-(0.03353*O58^4+0.2179*O58^2))</f>
        <v>98.476521542397</v>
      </c>
      <c r="Q58" s="5" t="n">
        <f aca="false">IF(H58&lt;18,E58*(18-H58),0)</f>
        <v>0</v>
      </c>
      <c r="R58" s="5" t="n">
        <f aca="false">IF(H58&gt;26,E58*(H58-26),0)</f>
        <v>537.694226780534</v>
      </c>
      <c r="S58" s="5" t="n">
        <f aca="false">Q58+R58</f>
        <v>537.694226780534</v>
      </c>
      <c r="T58" s="5" t="n">
        <f aca="false">MAX(0,100-S58/5)</f>
        <v>0</v>
      </c>
      <c r="U58" s="5" t="n">
        <f aca="false">(N58+T58)/2</f>
        <v>15.3895885457597</v>
      </c>
      <c r="V58" s="5" t="str">
        <f aca="false">IF(U58&gt;=60,"Recommended","Not Recommended")</f>
        <v>Not Recommended</v>
      </c>
      <c r="W58" s="5" t="str">
        <f aca="false">IF(Q58&gt;0,"Increase insulation thickness or reduce opening area to cut heat loss",IF(R58&gt;0,"Increase shading/ventilation or reduce solar-facing openings to cut heat gain","Design meets estimated comfort band without major changes"))</f>
        <v>Increase shading/ventilation or reduce solar-facing openings to cut heat gain</v>
      </c>
      <c r="X58" s="5" t="s">
        <v>555</v>
      </c>
    </row>
    <row r="59" customFormat="false" ht="15" hidden="false" customHeight="false" outlineLevel="0" collapsed="false">
      <c r="A59" s="5" t="str">
        <f aca="false">Combined_Scenarios!A59</f>
        <v>S058</v>
      </c>
      <c r="B59" s="5" t="n">
        <f aca="false">0.5+Combined_Scenarios!AA59*10</f>
        <v>0.800751879699248</v>
      </c>
      <c r="C59" s="5" t="n">
        <f aca="false">0.33*B59*Combined_Scenarios!Z59</f>
        <v>16.6476315789474</v>
      </c>
      <c r="D59" s="5" t="n">
        <f aca="false">Combined_Scenarios!W59*Combined_Scenarios!X59</f>
        <v>35.1902951066973</v>
      </c>
      <c r="E59" s="5" t="n">
        <f aca="false">C59+D59</f>
        <v>51.8379266856446</v>
      </c>
      <c r="F59" s="5" t="n">
        <f aca="false">0.5*Combined_Scenarios!Y59</f>
        <v>0.8</v>
      </c>
      <c r="G59" s="5" t="n">
        <f aca="false">Combined_Scenarios!K59*F59</f>
        <v>183.333333333333</v>
      </c>
      <c r="H59" s="5" t="n">
        <f aca="false">Combined_Scenarios!H59+IF(E59=0,0,G59/E59)</f>
        <v>37.5366640808206</v>
      </c>
      <c r="I59" s="5" t="n">
        <f aca="false">H59-Combined_Scenarios!H59</f>
        <v>3.53666408082064</v>
      </c>
      <c r="J59" s="5" t="n">
        <f aca="false">E59*I59</f>
        <v>183.333333333333</v>
      </c>
      <c r="K59" s="5" t="n">
        <f aca="false">0.31*Combined_Scenarios!H59+17.8</f>
        <v>28.34</v>
      </c>
      <c r="L59" s="5" t="n">
        <f aca="false">H59-K59</f>
        <v>9.19666408082064</v>
      </c>
      <c r="M59" s="5" t="str">
        <f aca="false">IF(AND(H59&gt;=12,H59&lt;=35),"Within safe range","Outside safe range")</f>
        <v>Outside safe range</v>
      </c>
      <c r="N59" s="5" t="n">
        <f aca="false">MAX(0,100-ABS(L59)*8)</f>
        <v>26.4266873534349</v>
      </c>
      <c r="O59" s="5" t="n">
        <f aca="false">MAX(-3,MIN(3,L59/3))</f>
        <v>3</v>
      </c>
      <c r="P59" s="5" t="n">
        <f aca="false">100-95*EXP(-(0.03353*O59^4+0.2179*O59^2))</f>
        <v>99.1158717152693</v>
      </c>
      <c r="Q59" s="5" t="n">
        <f aca="false">IF(H59&lt;18,E59*(18-H59),0)</f>
        <v>0</v>
      </c>
      <c r="R59" s="5" t="n">
        <f aca="false">IF(H59&gt;26,E59*(H59-26),0)</f>
        <v>598.03674681849</v>
      </c>
      <c r="S59" s="5" t="n">
        <f aca="false">Q59+R59</f>
        <v>598.03674681849</v>
      </c>
      <c r="T59" s="5" t="n">
        <f aca="false">MAX(0,100-S59/5)</f>
        <v>0</v>
      </c>
      <c r="U59" s="5" t="n">
        <f aca="false">(N59+T59)/2</f>
        <v>13.2133436767174</v>
      </c>
      <c r="V59" s="5" t="str">
        <f aca="false">IF(U59&gt;=60,"Recommended","Not Recommended")</f>
        <v>Not Recommended</v>
      </c>
      <c r="W59" s="5" t="str">
        <f aca="false">IF(Q59&gt;0,"Increase insulation thickness or reduce opening area to cut heat loss",IF(R59&gt;0,"Increase shading/ventilation or reduce solar-facing openings to cut heat gain","Design meets estimated comfort band without major changes"))</f>
        <v>Increase shading/ventilation or reduce solar-facing openings to cut heat gain</v>
      </c>
      <c r="X59" s="5" t="s">
        <v>555</v>
      </c>
    </row>
    <row r="60" customFormat="false" ht="15" hidden="false" customHeight="false" outlineLevel="0" collapsed="false">
      <c r="A60" s="5" t="str">
        <f aca="false">Combined_Scenarios!A60</f>
        <v>S059</v>
      </c>
      <c r="B60" s="5" t="n">
        <f aca="false">0.5+Combined_Scenarios!AA60*10</f>
        <v>0.800751879699248</v>
      </c>
      <c r="C60" s="5" t="n">
        <f aca="false">0.33*B60*Combined_Scenarios!Z60</f>
        <v>16.6476315789474</v>
      </c>
      <c r="D60" s="5" t="n">
        <f aca="false">Combined_Scenarios!W60*Combined_Scenarios!X60</f>
        <v>35.1902951066973</v>
      </c>
      <c r="E60" s="5" t="n">
        <f aca="false">C60+D60</f>
        <v>51.8379266856446</v>
      </c>
      <c r="F60" s="5" t="n">
        <f aca="false">0.5*Combined_Scenarios!Y60</f>
        <v>0.8</v>
      </c>
      <c r="G60" s="5" t="n">
        <f aca="false">Combined_Scenarios!K60*F60</f>
        <v>193.333333333333</v>
      </c>
      <c r="H60" s="5" t="n">
        <f aca="false">Combined_Scenarios!H60+IF(E60=0,0,G60/E60)</f>
        <v>35.7295730306836</v>
      </c>
      <c r="I60" s="5" t="n">
        <f aca="false">H60-Combined_Scenarios!H60</f>
        <v>3.72957303068359</v>
      </c>
      <c r="J60" s="5" t="n">
        <f aca="false">E60*I60</f>
        <v>193.333333333333</v>
      </c>
      <c r="K60" s="5" t="n">
        <f aca="false">0.31*Combined_Scenarios!H60+17.8</f>
        <v>27.72</v>
      </c>
      <c r="L60" s="5" t="n">
        <f aca="false">H60-K60</f>
        <v>8.00957303068359</v>
      </c>
      <c r="M60" s="5" t="str">
        <f aca="false">IF(AND(H60&gt;=12,H60&lt;=35),"Within safe range","Outside safe range")</f>
        <v>Outside safe range</v>
      </c>
      <c r="N60" s="5" t="n">
        <f aca="false">MAX(0,100-ABS(L60)*8)</f>
        <v>35.9234157545313</v>
      </c>
      <c r="O60" s="5" t="n">
        <f aca="false">MAX(-3,MIN(3,L60/3))</f>
        <v>2.66985767689453</v>
      </c>
      <c r="P60" s="5" t="n">
        <f aca="false">100-95*EXP(-(0.03353*O60^4+0.2179*O60^2))</f>
        <v>96.3417564108299</v>
      </c>
      <c r="Q60" s="5" t="n">
        <f aca="false">IF(H60&lt;18,E60*(18-H60),0)</f>
        <v>0</v>
      </c>
      <c r="R60" s="5" t="n">
        <f aca="false">IF(H60&gt;26,E60*(H60-26),0)</f>
        <v>504.360893447201</v>
      </c>
      <c r="S60" s="5" t="n">
        <f aca="false">Q60+R60</f>
        <v>504.360893447201</v>
      </c>
      <c r="T60" s="5" t="n">
        <f aca="false">MAX(0,100-S60/5)</f>
        <v>0</v>
      </c>
      <c r="U60" s="5" t="n">
        <f aca="false">(N60+T60)/2</f>
        <v>17.9617078772656</v>
      </c>
      <c r="V60" s="5" t="str">
        <f aca="false">IF(U60&gt;=60,"Recommended","Not Recommended")</f>
        <v>Not Recommended</v>
      </c>
      <c r="W60" s="5" t="str">
        <f aca="false">IF(Q60&gt;0,"Increase insulation thickness or reduce opening area to cut heat loss",IF(R60&gt;0,"Increase shading/ventilation or reduce solar-facing openings to cut heat gain","Design meets estimated comfort band without major changes"))</f>
        <v>Increase shading/ventilation or reduce solar-facing openings to cut heat gain</v>
      </c>
      <c r="X60" s="5" t="s">
        <v>555</v>
      </c>
    </row>
    <row r="61" customFormat="false" ht="15" hidden="false" customHeight="false" outlineLevel="0" collapsed="false">
      <c r="A61" s="5" t="str">
        <f aca="false">Combined_Scenarios!A61</f>
        <v>S060</v>
      </c>
      <c r="B61" s="5" t="n">
        <f aca="false">0.5+Combined_Scenarios!AA61*10</f>
        <v>0.800751879699248</v>
      </c>
      <c r="C61" s="5" t="n">
        <f aca="false">0.33*B61*Combined_Scenarios!Z61</f>
        <v>16.6476315789474</v>
      </c>
      <c r="D61" s="5" t="n">
        <f aca="false">Combined_Scenarios!W61*Combined_Scenarios!X61</f>
        <v>35.1902951066973</v>
      </c>
      <c r="E61" s="5" t="n">
        <f aca="false">C61+D61</f>
        <v>51.8379266856446</v>
      </c>
      <c r="F61" s="5" t="n">
        <f aca="false">0.5*Combined_Scenarios!Y61</f>
        <v>0.8</v>
      </c>
      <c r="G61" s="5" t="n">
        <f aca="false">Combined_Scenarios!K61*F61</f>
        <v>160</v>
      </c>
      <c r="H61" s="5" t="n">
        <f aca="false">Combined_Scenarios!H61+IF(E61=0,0,G61/E61)</f>
        <v>24.0865431978071</v>
      </c>
      <c r="I61" s="5" t="n">
        <f aca="false">H61-Combined_Scenarios!H61</f>
        <v>3.08654319780711</v>
      </c>
      <c r="J61" s="5" t="n">
        <f aca="false">E61*I61</f>
        <v>160</v>
      </c>
      <c r="K61" s="5" t="n">
        <f aca="false">0.31*Combined_Scenarios!H61+17.8</f>
        <v>24.31</v>
      </c>
      <c r="L61" s="5" t="n">
        <f aca="false">H61-K61</f>
        <v>-0.223456802192892</v>
      </c>
      <c r="M61" s="5" t="str">
        <f aca="false">IF(AND(H61&gt;=12,H61&lt;=35),"Within safe range","Outside safe range")</f>
        <v>Within safe range</v>
      </c>
      <c r="N61" s="5" t="n">
        <f aca="false">MAX(0,100-ABS(L61)*8)</f>
        <v>98.2123455824569</v>
      </c>
      <c r="O61" s="5" t="n">
        <f aca="false">MAX(-3,MIN(3,L61/3))</f>
        <v>-0.0744856007309641</v>
      </c>
      <c r="P61" s="5" t="n">
        <f aca="false">100-95*EXP(-(0.03353*O61^4+0.2179*O61^2))</f>
        <v>5.11487707883438</v>
      </c>
      <c r="Q61" s="5" t="n">
        <f aca="false">IF(H61&lt;18,E61*(18-H61),0)</f>
        <v>0</v>
      </c>
      <c r="R61" s="5" t="n">
        <f aca="false">IF(H61&gt;26,E61*(H61-26),0)</f>
        <v>0</v>
      </c>
      <c r="S61" s="5" t="n">
        <f aca="false">Q61+R61</f>
        <v>0</v>
      </c>
      <c r="T61" s="5" t="n">
        <f aca="false">MAX(0,100-S61/5)</f>
        <v>100</v>
      </c>
      <c r="U61" s="5" t="n">
        <f aca="false">(N61+T61)/2</f>
        <v>99.1061727912284</v>
      </c>
      <c r="V61" s="5" t="str">
        <f aca="false">IF(U61&gt;=60,"Recommended","Not Recommended")</f>
        <v>Recommended</v>
      </c>
      <c r="W61" s="5" t="str">
        <f aca="false">IF(Q61&gt;0,"Increase insulation thickness or reduce opening area to cut heat loss",IF(R61&gt;0,"Increase shading/ventilation or reduce solar-facing openings to cut heat gain","Design meets estimated comfort band without major changes"))</f>
        <v>Design meets estimated comfort band without major changes</v>
      </c>
      <c r="X61" s="5" t="s">
        <v>555</v>
      </c>
    </row>
    <row r="62" customFormat="false" ht="15" hidden="false" customHeight="false" outlineLevel="0" collapsed="false">
      <c r="A62" s="5" t="str">
        <f aca="false">Combined_Scenarios!A62</f>
        <v>S061</v>
      </c>
      <c r="B62" s="5" t="n">
        <f aca="false">0.5+Combined_Scenarios!AA62*10</f>
        <v>0.79585798816568</v>
      </c>
      <c r="C62" s="5" t="n">
        <f aca="false">0.33*B62*Combined_Scenarios!Z62</f>
        <v>7.16988461538462</v>
      </c>
      <c r="D62" s="5" t="n">
        <f aca="false">Combined_Scenarios!W62*Combined_Scenarios!X62</f>
        <v>48.955223880597</v>
      </c>
      <c r="E62" s="5" t="n">
        <f aca="false">C62+D62</f>
        <v>56.1251084959816</v>
      </c>
      <c r="F62" s="5" t="n">
        <f aca="false">0.5*Combined_Scenarios!Y62</f>
        <v>0.5</v>
      </c>
      <c r="G62" s="5" t="n">
        <f aca="false">Combined_Scenarios!K62*F62</f>
        <v>93.75</v>
      </c>
      <c r="H62" s="5" t="n">
        <f aca="false">Combined_Scenarios!H62+IF(E62=0,0,G62/E62)</f>
        <v>16.6703753901289</v>
      </c>
      <c r="I62" s="5" t="n">
        <f aca="false">H62-Combined_Scenarios!H62</f>
        <v>1.67037539012886</v>
      </c>
      <c r="J62" s="5" t="n">
        <f aca="false">E62*I62</f>
        <v>93.75</v>
      </c>
      <c r="K62" s="5" t="n">
        <f aca="false">0.31*Combined_Scenarios!H62+17.8</f>
        <v>22.45</v>
      </c>
      <c r="L62" s="5" t="n">
        <f aca="false">H62-K62</f>
        <v>-5.77962460987114</v>
      </c>
      <c r="M62" s="5" t="str">
        <f aca="false">IF(AND(H62&gt;=12,H62&lt;=35),"Within safe range","Outside safe range")</f>
        <v>Within safe range</v>
      </c>
      <c r="N62" s="5" t="n">
        <f aca="false">MAX(0,100-ABS(L62)*8)</f>
        <v>53.7630031210309</v>
      </c>
      <c r="O62" s="5" t="n">
        <f aca="false">MAX(-3,MIN(3,L62/3))</f>
        <v>-1.92654153662371</v>
      </c>
      <c r="P62" s="5" t="n">
        <f aca="false">100-95*EXP(-(0.03353*O62^4+0.2179*O62^2))</f>
        <v>73.3382907262487</v>
      </c>
      <c r="Q62" s="5" t="n">
        <f aca="false">IF(H62&lt;18,E62*(18-H62),0)</f>
        <v>74.625325487945</v>
      </c>
      <c r="R62" s="5" t="n">
        <f aca="false">IF(H62&gt;26,E62*(H62-26),0)</f>
        <v>0</v>
      </c>
      <c r="S62" s="5" t="n">
        <f aca="false">Q62+R62</f>
        <v>74.625325487945</v>
      </c>
      <c r="T62" s="5" t="n">
        <f aca="false">MAX(0,100-S62/5)</f>
        <v>85.074934902411</v>
      </c>
      <c r="U62" s="5" t="n">
        <f aca="false">(N62+T62)/2</f>
        <v>69.418969011721</v>
      </c>
      <c r="V62" s="5" t="str">
        <f aca="false">IF(U62&gt;=60,"Recommended","Not Recommended")</f>
        <v>Recommended</v>
      </c>
      <c r="W62" s="5" t="str">
        <f aca="false">IF(Q62&gt;0,"Increase insulation thickness or reduce opening area to cut heat loss",IF(R62&gt;0,"Increase shading/ventilation or reduce solar-facing openings to cut heat gain","Design meets estimated comfort band without major changes"))</f>
        <v>Increase insulation thickness or reduce opening area to cut heat loss</v>
      </c>
      <c r="X62" s="5" t="s">
        <v>555</v>
      </c>
    </row>
    <row r="63" customFormat="false" ht="15" hidden="false" customHeight="false" outlineLevel="0" collapsed="false">
      <c r="A63" s="5" t="str">
        <f aca="false">Combined_Scenarios!A63</f>
        <v>S062</v>
      </c>
      <c r="B63" s="5" t="n">
        <f aca="false">0.5+Combined_Scenarios!AA63*10</f>
        <v>0.79585798816568</v>
      </c>
      <c r="C63" s="5" t="n">
        <f aca="false">0.33*B63*Combined_Scenarios!Z63</f>
        <v>7.16988461538462</v>
      </c>
      <c r="D63" s="5" t="n">
        <f aca="false">Combined_Scenarios!W63*Combined_Scenarios!X63</f>
        <v>48.955223880597</v>
      </c>
      <c r="E63" s="5" t="n">
        <f aca="false">C63+D63</f>
        <v>56.1251084959816</v>
      </c>
      <c r="F63" s="5" t="n">
        <f aca="false">0.5*Combined_Scenarios!Y63</f>
        <v>0.5</v>
      </c>
      <c r="G63" s="5" t="n">
        <f aca="false">Combined_Scenarios!K63*F63</f>
        <v>141.666666666667</v>
      </c>
      <c r="H63" s="5" t="n">
        <f aca="false">Combined_Scenarios!H63+IF(E63=0,0,G63/E63)</f>
        <v>34.5241228117503</v>
      </c>
      <c r="I63" s="5" t="n">
        <f aca="false">H63-Combined_Scenarios!H63</f>
        <v>2.52412281175028</v>
      </c>
      <c r="J63" s="5" t="n">
        <f aca="false">E63*I63</f>
        <v>141.666666666667</v>
      </c>
      <c r="K63" s="5" t="n">
        <f aca="false">0.31*Combined_Scenarios!H63+17.8</f>
        <v>27.72</v>
      </c>
      <c r="L63" s="5" t="n">
        <f aca="false">H63-K63</f>
        <v>6.80412281175028</v>
      </c>
      <c r="M63" s="5" t="str">
        <f aca="false">IF(AND(H63&gt;=12,H63&lt;=35),"Within safe range","Outside safe range")</f>
        <v>Within safe range</v>
      </c>
      <c r="N63" s="5" t="n">
        <f aca="false">MAX(0,100-ABS(L63)*8)</f>
        <v>45.5670175059977</v>
      </c>
      <c r="O63" s="5" t="n">
        <f aca="false">MAX(-3,MIN(3,L63/3))</f>
        <v>2.26804093725009</v>
      </c>
      <c r="P63" s="5" t="n">
        <f aca="false">100-95*EXP(-(0.03353*O63^4+0.2179*O63^2))</f>
        <v>87.2470150526195</v>
      </c>
      <c r="Q63" s="5" t="n">
        <f aca="false">IF(H63&lt;18,E63*(18-H63),0)</f>
        <v>0</v>
      </c>
      <c r="R63" s="5" t="n">
        <f aca="false">IF(H63&gt;26,E63*(H63-26),0)</f>
        <v>478.417317642557</v>
      </c>
      <c r="S63" s="5" t="n">
        <f aca="false">Q63+R63</f>
        <v>478.417317642557</v>
      </c>
      <c r="T63" s="5" t="n">
        <f aca="false">MAX(0,100-S63/5)</f>
        <v>4.31653647148868</v>
      </c>
      <c r="U63" s="5" t="n">
        <f aca="false">(N63+T63)/2</f>
        <v>24.9417769887432</v>
      </c>
      <c r="V63" s="5" t="str">
        <f aca="false">IF(U63&gt;=60,"Recommended","Not Recommended")</f>
        <v>Not Recommended</v>
      </c>
      <c r="W63" s="5" t="str">
        <f aca="false">IF(Q63&gt;0,"Increase insulation thickness or reduce opening area to cut heat loss",IF(R63&gt;0,"Increase shading/ventilation or reduce solar-facing openings to cut heat gain","Design meets estimated comfort band without major changes"))</f>
        <v>Increase shading/ventilation or reduce solar-facing openings to cut heat gain</v>
      </c>
      <c r="X63" s="5" t="s">
        <v>555</v>
      </c>
    </row>
    <row r="64" customFormat="false" ht="15" hidden="false" customHeight="false" outlineLevel="0" collapsed="false">
      <c r="A64" s="5" t="str">
        <f aca="false">Combined_Scenarios!A64</f>
        <v>S063</v>
      </c>
      <c r="B64" s="5" t="n">
        <f aca="false">0.5+Combined_Scenarios!AA64*10</f>
        <v>0.79585798816568</v>
      </c>
      <c r="C64" s="5" t="n">
        <f aca="false">0.33*B64*Combined_Scenarios!Z64</f>
        <v>7.16988461538462</v>
      </c>
      <c r="D64" s="5" t="n">
        <f aca="false">Combined_Scenarios!W64*Combined_Scenarios!X64</f>
        <v>48.955223880597</v>
      </c>
      <c r="E64" s="5" t="n">
        <f aca="false">C64+D64</f>
        <v>56.1251084959816</v>
      </c>
      <c r="F64" s="5" t="n">
        <f aca="false">0.5*Combined_Scenarios!Y64</f>
        <v>0.5</v>
      </c>
      <c r="G64" s="5" t="n">
        <f aca="false">Combined_Scenarios!K64*F64</f>
        <v>114.583333333333</v>
      </c>
      <c r="H64" s="5" t="n">
        <f aca="false">Combined_Scenarios!H64+IF(E64=0,0,G64/E64)</f>
        <v>36.0415699212686</v>
      </c>
      <c r="I64" s="5" t="n">
        <f aca="false">H64-Combined_Scenarios!H64</f>
        <v>2.04156992126861</v>
      </c>
      <c r="J64" s="5" t="n">
        <f aca="false">E64*I64</f>
        <v>114.583333333333</v>
      </c>
      <c r="K64" s="5" t="n">
        <f aca="false">0.31*Combined_Scenarios!H64+17.8</f>
        <v>28.34</v>
      </c>
      <c r="L64" s="5" t="n">
        <f aca="false">H64-K64</f>
        <v>7.70156992126861</v>
      </c>
      <c r="M64" s="5" t="str">
        <f aca="false">IF(AND(H64&gt;=12,H64&lt;=35),"Within safe range","Outside safe range")</f>
        <v>Outside safe range</v>
      </c>
      <c r="N64" s="5" t="n">
        <f aca="false">MAX(0,100-ABS(L64)*8)</f>
        <v>38.3874406298511</v>
      </c>
      <c r="O64" s="5" t="n">
        <f aca="false">MAX(-3,MIN(3,L64/3))</f>
        <v>2.5671899737562</v>
      </c>
      <c r="P64" s="5" t="n">
        <f aca="false">100-95*EXP(-(0.03353*O64^4+0.2179*O64^2))</f>
        <v>94.7329770703144</v>
      </c>
      <c r="Q64" s="5" t="n">
        <f aca="false">IF(H64&lt;18,E64*(18-H64),0)</f>
        <v>0</v>
      </c>
      <c r="R64" s="5" t="n">
        <f aca="false">IF(H64&gt;26,E64*(H64-26),0)</f>
        <v>563.584201301187</v>
      </c>
      <c r="S64" s="5" t="n">
        <f aca="false">Q64+R64</f>
        <v>563.584201301187</v>
      </c>
      <c r="T64" s="5" t="n">
        <f aca="false">MAX(0,100-S64/5)</f>
        <v>0</v>
      </c>
      <c r="U64" s="5" t="n">
        <f aca="false">(N64+T64)/2</f>
        <v>19.1937203149256</v>
      </c>
      <c r="V64" s="5" t="str">
        <f aca="false">IF(U64&gt;=60,"Recommended","Not Recommended")</f>
        <v>Not Recommended</v>
      </c>
      <c r="W64" s="5" t="str">
        <f aca="false">IF(Q64&gt;0,"Increase insulation thickness or reduce opening area to cut heat loss",IF(R64&gt;0,"Increase shading/ventilation or reduce solar-facing openings to cut heat gain","Design meets estimated comfort band without major changes"))</f>
        <v>Increase shading/ventilation or reduce solar-facing openings to cut heat gain</v>
      </c>
      <c r="X64" s="5" t="s">
        <v>555</v>
      </c>
    </row>
    <row r="65" customFormat="false" ht="15" hidden="false" customHeight="false" outlineLevel="0" collapsed="false">
      <c r="A65" s="5" t="str">
        <f aca="false">Combined_Scenarios!A65</f>
        <v>S064</v>
      </c>
      <c r="B65" s="5" t="n">
        <f aca="false">0.5+Combined_Scenarios!AA65*10</f>
        <v>0.79585798816568</v>
      </c>
      <c r="C65" s="5" t="n">
        <f aca="false">0.33*B65*Combined_Scenarios!Z65</f>
        <v>7.16988461538462</v>
      </c>
      <c r="D65" s="5" t="n">
        <f aca="false">Combined_Scenarios!W65*Combined_Scenarios!X65</f>
        <v>48.955223880597</v>
      </c>
      <c r="E65" s="5" t="n">
        <f aca="false">C65+D65</f>
        <v>56.1251084959816</v>
      </c>
      <c r="F65" s="5" t="n">
        <f aca="false">0.5*Combined_Scenarios!Y65</f>
        <v>0.5</v>
      </c>
      <c r="G65" s="5" t="n">
        <f aca="false">Combined_Scenarios!K65*F65</f>
        <v>120.833333333333</v>
      </c>
      <c r="H65" s="5" t="n">
        <f aca="false">Combined_Scenarios!H65+IF(E65=0,0,G65/E65)</f>
        <v>34.1529282806105</v>
      </c>
      <c r="I65" s="5" t="n">
        <f aca="false">H65-Combined_Scenarios!H65</f>
        <v>2.15292828061053</v>
      </c>
      <c r="J65" s="5" t="n">
        <f aca="false">E65*I65</f>
        <v>120.833333333333</v>
      </c>
      <c r="K65" s="5" t="n">
        <f aca="false">0.31*Combined_Scenarios!H65+17.8</f>
        <v>27.72</v>
      </c>
      <c r="L65" s="5" t="n">
        <f aca="false">H65-K65</f>
        <v>6.43292828061053</v>
      </c>
      <c r="M65" s="5" t="str">
        <f aca="false">IF(AND(H65&gt;=12,H65&lt;=35),"Within safe range","Outside safe range")</f>
        <v>Within safe range</v>
      </c>
      <c r="N65" s="5" t="n">
        <f aca="false">MAX(0,100-ABS(L65)*8)</f>
        <v>48.5365737551157</v>
      </c>
      <c r="O65" s="5" t="n">
        <f aca="false">MAX(-3,MIN(3,L65/3))</f>
        <v>2.14430942687018</v>
      </c>
      <c r="P65" s="5" t="n">
        <f aca="false">100-95*EXP(-(0.03353*O65^4+0.2179*O65^2))</f>
        <v>82.831752550916</v>
      </c>
      <c r="Q65" s="5" t="n">
        <f aca="false">IF(H65&lt;18,E65*(18-H65),0)</f>
        <v>0</v>
      </c>
      <c r="R65" s="5" t="n">
        <f aca="false">IF(H65&gt;26,E65*(H65-26),0)</f>
        <v>457.583984309223</v>
      </c>
      <c r="S65" s="5" t="n">
        <f aca="false">Q65+R65</f>
        <v>457.583984309223</v>
      </c>
      <c r="T65" s="5" t="n">
        <f aca="false">MAX(0,100-S65/5)</f>
        <v>8.48320313815539</v>
      </c>
      <c r="U65" s="5" t="n">
        <f aca="false">(N65+T65)/2</f>
        <v>28.5098884466356</v>
      </c>
      <c r="V65" s="5" t="str">
        <f aca="false">IF(U65&gt;=60,"Recommended","Not Recommended")</f>
        <v>Not Recommended</v>
      </c>
      <c r="W65" s="5" t="str">
        <f aca="false">IF(Q65&gt;0,"Increase insulation thickness or reduce opening area to cut heat loss",IF(R65&gt;0,"Increase shading/ventilation or reduce solar-facing openings to cut heat gain","Design meets estimated comfort band without major changes"))</f>
        <v>Increase shading/ventilation or reduce solar-facing openings to cut heat gain</v>
      </c>
      <c r="X65" s="5" t="s">
        <v>555</v>
      </c>
    </row>
    <row r="66" customFormat="false" ht="15" hidden="false" customHeight="false" outlineLevel="0" collapsed="false">
      <c r="A66" s="5" t="str">
        <f aca="false">Combined_Scenarios!A66</f>
        <v>S065</v>
      </c>
      <c r="B66" s="5" t="n">
        <f aca="false">0.5+Combined_Scenarios!AA66*10</f>
        <v>0.79585798816568</v>
      </c>
      <c r="C66" s="5" t="n">
        <f aca="false">0.33*B66*Combined_Scenarios!Z66</f>
        <v>7.16988461538462</v>
      </c>
      <c r="D66" s="5" t="n">
        <f aca="false">Combined_Scenarios!W66*Combined_Scenarios!X66</f>
        <v>48.955223880597</v>
      </c>
      <c r="E66" s="5" t="n">
        <f aca="false">C66+D66</f>
        <v>56.1251084959816</v>
      </c>
      <c r="F66" s="5" t="n">
        <f aca="false">0.5*Combined_Scenarios!Y66</f>
        <v>0.5</v>
      </c>
      <c r="G66" s="5" t="n">
        <f aca="false">Combined_Scenarios!K66*F66</f>
        <v>100</v>
      </c>
      <c r="H66" s="5" t="n">
        <f aca="false">Combined_Scenarios!H66+IF(E66=0,0,G66/E66)</f>
        <v>22.7817337494708</v>
      </c>
      <c r="I66" s="5" t="n">
        <f aca="false">H66-Combined_Scenarios!H66</f>
        <v>1.78173374947079</v>
      </c>
      <c r="J66" s="5" t="n">
        <f aca="false">E66*I66</f>
        <v>100</v>
      </c>
      <c r="K66" s="5" t="n">
        <f aca="false">0.31*Combined_Scenarios!H66+17.8</f>
        <v>24.31</v>
      </c>
      <c r="L66" s="5" t="n">
        <f aca="false">H66-K66</f>
        <v>-1.52826625052922</v>
      </c>
      <c r="M66" s="5" t="str">
        <f aca="false">IF(AND(H66&gt;=12,H66&lt;=35),"Within safe range","Outside safe range")</f>
        <v>Within safe range</v>
      </c>
      <c r="N66" s="5" t="n">
        <f aca="false">MAX(0,100-ABS(L66)*8)</f>
        <v>87.7738699957663</v>
      </c>
      <c r="O66" s="5" t="n">
        <f aca="false">MAX(-3,MIN(3,L66/3))</f>
        <v>-0.509422083509739</v>
      </c>
      <c r="P66" s="5" t="n">
        <f aca="false">100-95*EXP(-(0.03353*O66^4+0.2179*O66^2))</f>
        <v>10.425438500933</v>
      </c>
      <c r="Q66" s="5" t="n">
        <f aca="false">IF(H66&lt;18,E66*(18-H66),0)</f>
        <v>0</v>
      </c>
      <c r="R66" s="5" t="n">
        <f aca="false">IF(H66&gt;26,E66*(H66-26),0)</f>
        <v>0</v>
      </c>
      <c r="S66" s="5" t="n">
        <f aca="false">Q66+R66</f>
        <v>0</v>
      </c>
      <c r="T66" s="5" t="n">
        <f aca="false">MAX(0,100-S66/5)</f>
        <v>100</v>
      </c>
      <c r="U66" s="5" t="n">
        <f aca="false">(N66+T66)/2</f>
        <v>93.8869349978831</v>
      </c>
      <c r="V66" s="5" t="str">
        <f aca="false">IF(U66&gt;=60,"Recommended","Not Recommended")</f>
        <v>Recommended</v>
      </c>
      <c r="W66" s="5" t="str">
        <f aca="false">IF(Q66&gt;0,"Increase insulation thickness or reduce opening area to cut heat loss",IF(R66&gt;0,"Increase shading/ventilation or reduce solar-facing openings to cut heat gain","Design meets estimated comfort band without major changes"))</f>
        <v>Design meets estimated comfort band without major changes</v>
      </c>
      <c r="X66" s="5" t="s">
        <v>555</v>
      </c>
    </row>
    <row r="67" customFormat="false" ht="15" hidden="false" customHeight="false" outlineLevel="0" collapsed="false">
      <c r="A67" s="5" t="str">
        <f aca="false">Combined_Scenarios!A67</f>
        <v>S066</v>
      </c>
      <c r="B67" s="5" t="n">
        <f aca="false">0.5+Combined_Scenarios!AA67*10</f>
        <v>0.800751879699248</v>
      </c>
      <c r="C67" s="5" t="n">
        <f aca="false">0.33*B67*Combined_Scenarios!Z67</f>
        <v>16.6476315789474</v>
      </c>
      <c r="D67" s="5" t="n">
        <f aca="false">Combined_Scenarios!W67*Combined_Scenarios!X67</f>
        <v>77.0149253731343</v>
      </c>
      <c r="E67" s="5" t="n">
        <f aca="false">C67+D67</f>
        <v>93.6625569520817</v>
      </c>
      <c r="F67" s="5" t="n">
        <f aca="false">0.5*Combined_Scenarios!Y67</f>
        <v>0.8</v>
      </c>
      <c r="G67" s="5" t="n">
        <f aca="false">Combined_Scenarios!K67*F67</f>
        <v>150</v>
      </c>
      <c r="H67" s="5" t="n">
        <f aca="false">Combined_Scenarios!H67+IF(E67=0,0,G67/E67)</f>
        <v>16.6014937546147</v>
      </c>
      <c r="I67" s="5" t="n">
        <f aca="false">H67-Combined_Scenarios!H67</f>
        <v>1.60149375461467</v>
      </c>
      <c r="J67" s="5" t="n">
        <f aca="false">E67*I67</f>
        <v>150</v>
      </c>
      <c r="K67" s="5" t="n">
        <f aca="false">0.31*Combined_Scenarios!H67+17.8</f>
        <v>22.45</v>
      </c>
      <c r="L67" s="5" t="n">
        <f aca="false">H67-K67</f>
        <v>-5.84850624538533</v>
      </c>
      <c r="M67" s="5" t="str">
        <f aca="false">IF(AND(H67&gt;=12,H67&lt;=35),"Within safe range","Outside safe range")</f>
        <v>Within safe range</v>
      </c>
      <c r="N67" s="5" t="n">
        <f aca="false">MAX(0,100-ABS(L67)*8)</f>
        <v>53.2119500369174</v>
      </c>
      <c r="O67" s="5" t="n">
        <f aca="false">MAX(-3,MIN(3,L67/3))</f>
        <v>-1.94950208179511</v>
      </c>
      <c r="P67" s="5" t="n">
        <f aca="false">100-95*EXP(-(0.03353*O67^4+0.2179*O67^2))</f>
        <v>74.4300016322691</v>
      </c>
      <c r="Q67" s="5" t="n">
        <f aca="false">IF(H67&lt;18,E67*(18-H67),0)</f>
        <v>130.987670856245</v>
      </c>
      <c r="R67" s="5" t="n">
        <f aca="false">IF(H67&gt;26,E67*(H67-26),0)</f>
        <v>0</v>
      </c>
      <c r="S67" s="5" t="n">
        <f aca="false">Q67+R67</f>
        <v>130.987670856245</v>
      </c>
      <c r="T67" s="5" t="n">
        <f aca="false">MAX(0,100-S67/5)</f>
        <v>73.802465828751</v>
      </c>
      <c r="U67" s="5" t="n">
        <f aca="false">(N67+T67)/2</f>
        <v>63.5072079328342</v>
      </c>
      <c r="V67" s="5" t="str">
        <f aca="false">IF(U67&gt;=60,"Recommended","Not Recommended")</f>
        <v>Recommended</v>
      </c>
      <c r="W67" s="5" t="str">
        <f aca="false">IF(Q67&gt;0,"Increase insulation thickness or reduce opening area to cut heat loss",IF(R67&gt;0,"Increase shading/ventilation or reduce solar-facing openings to cut heat gain","Design meets estimated comfort band without major changes"))</f>
        <v>Increase insulation thickness or reduce opening area to cut heat loss</v>
      </c>
      <c r="X67" s="5" t="s">
        <v>555</v>
      </c>
    </row>
    <row r="68" customFormat="false" ht="15" hidden="false" customHeight="false" outlineLevel="0" collapsed="false">
      <c r="A68" s="5" t="str">
        <f aca="false">Combined_Scenarios!A68</f>
        <v>S067</v>
      </c>
      <c r="B68" s="5" t="n">
        <f aca="false">0.5+Combined_Scenarios!AA68*10</f>
        <v>0.800751879699248</v>
      </c>
      <c r="C68" s="5" t="n">
        <f aca="false">0.33*B68*Combined_Scenarios!Z68</f>
        <v>16.6476315789474</v>
      </c>
      <c r="D68" s="5" t="n">
        <f aca="false">Combined_Scenarios!W68*Combined_Scenarios!X68</f>
        <v>77.0149253731343</v>
      </c>
      <c r="E68" s="5" t="n">
        <f aca="false">C68+D68</f>
        <v>93.6625569520817</v>
      </c>
      <c r="F68" s="5" t="n">
        <f aca="false">0.5*Combined_Scenarios!Y68</f>
        <v>0.8</v>
      </c>
      <c r="G68" s="5" t="n">
        <f aca="false">Combined_Scenarios!K68*F68</f>
        <v>226.666666666667</v>
      </c>
      <c r="H68" s="5" t="n">
        <f aca="false">Combined_Scenarios!H68+IF(E68=0,0,G68/E68)</f>
        <v>34.4200350069733</v>
      </c>
      <c r="I68" s="5" t="n">
        <f aca="false">H68-Combined_Scenarios!H68</f>
        <v>2.42003500697329</v>
      </c>
      <c r="J68" s="5" t="n">
        <f aca="false">E68*I68</f>
        <v>226.666666666667</v>
      </c>
      <c r="K68" s="5" t="n">
        <f aca="false">0.31*Combined_Scenarios!H68+17.8</f>
        <v>27.72</v>
      </c>
      <c r="L68" s="5" t="n">
        <f aca="false">H68-K68</f>
        <v>6.70003500697329</v>
      </c>
      <c r="M68" s="5" t="str">
        <f aca="false">IF(AND(H68&gt;=12,H68&lt;=35),"Within safe range","Outside safe range")</f>
        <v>Within safe range</v>
      </c>
      <c r="N68" s="5" t="n">
        <f aca="false">MAX(0,100-ABS(L68)*8)</f>
        <v>46.3997199442137</v>
      </c>
      <c r="O68" s="5" t="n">
        <f aca="false">MAX(-3,MIN(3,L68/3))</f>
        <v>2.23334500232443</v>
      </c>
      <c r="P68" s="5" t="n">
        <f aca="false">100-95*EXP(-(0.03353*O68^4+0.2179*O68^2))</f>
        <v>86.0865718874114</v>
      </c>
      <c r="Q68" s="5" t="n">
        <f aca="false">IF(H68&lt;18,E68*(18-H68),0)</f>
        <v>0</v>
      </c>
      <c r="R68" s="5" t="n">
        <f aca="false">IF(H68&gt;26,E68*(H68-26),0)</f>
        <v>788.642008379157</v>
      </c>
      <c r="S68" s="5" t="n">
        <f aca="false">Q68+R68</f>
        <v>788.642008379157</v>
      </c>
      <c r="T68" s="5" t="n">
        <f aca="false">MAX(0,100-S68/5)</f>
        <v>0</v>
      </c>
      <c r="U68" s="5" t="n">
        <f aca="false">(N68+T68)/2</f>
        <v>23.1998599721069</v>
      </c>
      <c r="V68" s="5" t="str">
        <f aca="false">IF(U68&gt;=60,"Recommended","Not Recommended")</f>
        <v>Not Recommended</v>
      </c>
      <c r="W68" s="5" t="str">
        <f aca="false">IF(Q68&gt;0,"Increase insulation thickness or reduce opening area to cut heat loss",IF(R68&gt;0,"Increase shading/ventilation or reduce solar-facing openings to cut heat gain","Design meets estimated comfort band without major changes"))</f>
        <v>Increase shading/ventilation or reduce solar-facing openings to cut heat gain</v>
      </c>
      <c r="X68" s="5" t="s">
        <v>555</v>
      </c>
    </row>
    <row r="69" customFormat="false" ht="15" hidden="false" customHeight="false" outlineLevel="0" collapsed="false">
      <c r="A69" s="5" t="str">
        <f aca="false">Combined_Scenarios!A69</f>
        <v>S068</v>
      </c>
      <c r="B69" s="5" t="n">
        <f aca="false">0.5+Combined_Scenarios!AA69*10</f>
        <v>0.800751879699248</v>
      </c>
      <c r="C69" s="5" t="n">
        <f aca="false">0.33*B69*Combined_Scenarios!Z69</f>
        <v>16.6476315789474</v>
      </c>
      <c r="D69" s="5" t="n">
        <f aca="false">Combined_Scenarios!W69*Combined_Scenarios!X69</f>
        <v>77.0149253731343</v>
      </c>
      <c r="E69" s="5" t="n">
        <f aca="false">C69+D69</f>
        <v>93.6625569520817</v>
      </c>
      <c r="F69" s="5" t="n">
        <f aca="false">0.5*Combined_Scenarios!Y69</f>
        <v>0.8</v>
      </c>
      <c r="G69" s="5" t="n">
        <f aca="false">Combined_Scenarios!K69*F69</f>
        <v>183.333333333333</v>
      </c>
      <c r="H69" s="5" t="n">
        <f aca="false">Combined_Scenarios!H69+IF(E69=0,0,G69/E69)</f>
        <v>35.9573812556402</v>
      </c>
      <c r="I69" s="5" t="n">
        <f aca="false">H69-Combined_Scenarios!H69</f>
        <v>1.95738125564016</v>
      </c>
      <c r="J69" s="5" t="n">
        <f aca="false">E69*I69</f>
        <v>183.333333333333</v>
      </c>
      <c r="K69" s="5" t="n">
        <f aca="false">0.31*Combined_Scenarios!H69+17.8</f>
        <v>28.34</v>
      </c>
      <c r="L69" s="5" t="n">
        <f aca="false">H69-K69</f>
        <v>7.61738125564016</v>
      </c>
      <c r="M69" s="5" t="str">
        <f aca="false">IF(AND(H69&gt;=12,H69&lt;=35),"Within safe range","Outside safe range")</f>
        <v>Outside safe range</v>
      </c>
      <c r="N69" s="5" t="n">
        <f aca="false">MAX(0,100-ABS(L69)*8)</f>
        <v>39.0609499548787</v>
      </c>
      <c r="O69" s="5" t="n">
        <f aca="false">MAX(-3,MIN(3,L69/3))</f>
        <v>2.53912708521339</v>
      </c>
      <c r="P69" s="5" t="n">
        <f aca="false">100-95*EXP(-(0.03353*O69^4+0.2179*O69^2))</f>
        <v>94.2146265987956</v>
      </c>
      <c r="Q69" s="5" t="n">
        <f aca="false">IF(H69&lt;18,E69*(18-H69),0)</f>
        <v>0</v>
      </c>
      <c r="R69" s="5" t="n">
        <f aca="false">IF(H69&gt;26,E69*(H69-26),0)</f>
        <v>932.633788949987</v>
      </c>
      <c r="S69" s="5" t="n">
        <f aca="false">Q69+R69</f>
        <v>932.633788949987</v>
      </c>
      <c r="T69" s="5" t="n">
        <f aca="false">MAX(0,100-S69/5)</f>
        <v>0</v>
      </c>
      <c r="U69" s="5" t="n">
        <f aca="false">(N69+T69)/2</f>
        <v>19.5304749774394</v>
      </c>
      <c r="V69" s="5" t="str">
        <f aca="false">IF(U69&gt;=60,"Recommended","Not Recommended")</f>
        <v>Not Recommended</v>
      </c>
      <c r="W69" s="5" t="str">
        <f aca="false">IF(Q69&gt;0,"Increase insulation thickness or reduce opening area to cut heat loss",IF(R69&gt;0,"Increase shading/ventilation or reduce solar-facing openings to cut heat gain","Design meets estimated comfort band without major changes"))</f>
        <v>Increase shading/ventilation or reduce solar-facing openings to cut heat gain</v>
      </c>
      <c r="X69" s="5" t="s">
        <v>555</v>
      </c>
    </row>
    <row r="70" customFormat="false" ht="15" hidden="false" customHeight="false" outlineLevel="0" collapsed="false">
      <c r="A70" s="5" t="str">
        <f aca="false">Combined_Scenarios!A70</f>
        <v>S069</v>
      </c>
      <c r="B70" s="5" t="n">
        <f aca="false">0.5+Combined_Scenarios!AA70*10</f>
        <v>0.800751879699248</v>
      </c>
      <c r="C70" s="5" t="n">
        <f aca="false">0.33*B70*Combined_Scenarios!Z70</f>
        <v>16.6476315789474</v>
      </c>
      <c r="D70" s="5" t="n">
        <f aca="false">Combined_Scenarios!W70*Combined_Scenarios!X70</f>
        <v>77.0149253731343</v>
      </c>
      <c r="E70" s="5" t="n">
        <f aca="false">C70+D70</f>
        <v>93.6625569520817</v>
      </c>
      <c r="F70" s="5" t="n">
        <f aca="false">0.5*Combined_Scenarios!Y70</f>
        <v>0.8</v>
      </c>
      <c r="G70" s="5" t="n">
        <f aca="false">Combined_Scenarios!K70*F70</f>
        <v>193.333333333333</v>
      </c>
      <c r="H70" s="5" t="n">
        <f aca="false">Combined_Scenarios!H70+IF(E70=0,0,G70/E70)</f>
        <v>34.0641475059478</v>
      </c>
      <c r="I70" s="5" t="n">
        <f aca="false">H70-Combined_Scenarios!H70</f>
        <v>2.0641475059478</v>
      </c>
      <c r="J70" s="5" t="n">
        <f aca="false">E70*I70</f>
        <v>193.333333333333</v>
      </c>
      <c r="K70" s="5" t="n">
        <f aca="false">0.31*Combined_Scenarios!H70+17.8</f>
        <v>27.72</v>
      </c>
      <c r="L70" s="5" t="n">
        <f aca="false">H70-K70</f>
        <v>6.3441475059478</v>
      </c>
      <c r="M70" s="5" t="str">
        <f aca="false">IF(AND(H70&gt;=12,H70&lt;=35),"Within safe range","Outside safe range")</f>
        <v>Within safe range</v>
      </c>
      <c r="N70" s="5" t="n">
        <f aca="false">MAX(0,100-ABS(L70)*8)</f>
        <v>49.2468199524176</v>
      </c>
      <c r="O70" s="5" t="n">
        <f aca="false">MAX(-3,MIN(3,L70/3))</f>
        <v>2.11471583531593</v>
      </c>
      <c r="P70" s="5" t="n">
        <f aca="false">100-95*EXP(-(0.03353*O70^4+0.2179*O70^2))</f>
        <v>81.6641727041755</v>
      </c>
      <c r="Q70" s="5" t="n">
        <f aca="false">IF(H70&lt;18,E70*(18-H70),0)</f>
        <v>0</v>
      </c>
      <c r="R70" s="5" t="n">
        <f aca="false">IF(H70&gt;26,E70*(H70-26),0)</f>
        <v>755.308675045823</v>
      </c>
      <c r="S70" s="5" t="n">
        <f aca="false">Q70+R70</f>
        <v>755.308675045823</v>
      </c>
      <c r="T70" s="5" t="n">
        <f aca="false">MAX(0,100-S70/5)</f>
        <v>0</v>
      </c>
      <c r="U70" s="5" t="n">
        <f aca="false">(N70+T70)/2</f>
        <v>24.6234099762088</v>
      </c>
      <c r="V70" s="5" t="str">
        <f aca="false">IF(U70&gt;=60,"Recommended","Not Recommended")</f>
        <v>Not Recommended</v>
      </c>
      <c r="W70" s="5" t="str">
        <f aca="false">IF(Q70&gt;0,"Increase insulation thickness or reduce opening area to cut heat loss",IF(R70&gt;0,"Increase shading/ventilation or reduce solar-facing openings to cut heat gain","Design meets estimated comfort band without major changes"))</f>
        <v>Increase shading/ventilation or reduce solar-facing openings to cut heat gain</v>
      </c>
      <c r="X70" s="5" t="s">
        <v>555</v>
      </c>
    </row>
    <row r="71" customFormat="false" ht="15" hidden="false" customHeight="false" outlineLevel="0" collapsed="false">
      <c r="A71" s="5" t="str">
        <f aca="false">Combined_Scenarios!A71</f>
        <v>S070</v>
      </c>
      <c r="B71" s="5" t="n">
        <f aca="false">0.5+Combined_Scenarios!AA71*10</f>
        <v>0.800751879699248</v>
      </c>
      <c r="C71" s="5" t="n">
        <f aca="false">0.33*B71*Combined_Scenarios!Z71</f>
        <v>16.6476315789474</v>
      </c>
      <c r="D71" s="5" t="n">
        <f aca="false">Combined_Scenarios!W71*Combined_Scenarios!X71</f>
        <v>77.0149253731343</v>
      </c>
      <c r="E71" s="5" t="n">
        <f aca="false">C71+D71</f>
        <v>93.6625569520817</v>
      </c>
      <c r="F71" s="5" t="n">
        <f aca="false">0.5*Combined_Scenarios!Y71</f>
        <v>0.8</v>
      </c>
      <c r="G71" s="5" t="n">
        <f aca="false">Combined_Scenarios!K71*F71</f>
        <v>160</v>
      </c>
      <c r="H71" s="5" t="n">
        <f aca="false">Combined_Scenarios!H71+IF(E71=0,0,G71/E71)</f>
        <v>22.7082600049223</v>
      </c>
      <c r="I71" s="5" t="n">
        <f aca="false">H71-Combined_Scenarios!H71</f>
        <v>1.70826000492232</v>
      </c>
      <c r="J71" s="5" t="n">
        <f aca="false">E71*I71</f>
        <v>160</v>
      </c>
      <c r="K71" s="5" t="n">
        <f aca="false">0.31*Combined_Scenarios!H71+17.8</f>
        <v>24.31</v>
      </c>
      <c r="L71" s="5" t="n">
        <f aca="false">H71-K71</f>
        <v>-1.60173999507768</v>
      </c>
      <c r="M71" s="5" t="str">
        <f aca="false">IF(AND(H71&gt;=12,H71&lt;=35),"Within safe range","Outside safe range")</f>
        <v>Within safe range</v>
      </c>
      <c r="N71" s="5" t="n">
        <f aca="false">MAX(0,100-ABS(L71)*8)</f>
        <v>87.1860800393785</v>
      </c>
      <c r="O71" s="5" t="n">
        <f aca="false">MAX(-3,MIN(3,L71/3))</f>
        <v>-0.533913331692561</v>
      </c>
      <c r="P71" s="5" t="n">
        <f aca="false">100-95*EXP(-(0.03353*O71^4+0.2179*O71^2))</f>
        <v>10.9643474645719</v>
      </c>
      <c r="Q71" s="5" t="n">
        <f aca="false">IF(H71&lt;18,E71*(18-H71),0)</f>
        <v>0</v>
      </c>
      <c r="R71" s="5" t="n">
        <f aca="false">IF(H71&gt;26,E71*(H71-26),0)</f>
        <v>0</v>
      </c>
      <c r="S71" s="5" t="n">
        <f aca="false">Q71+R71</f>
        <v>0</v>
      </c>
      <c r="T71" s="5" t="n">
        <f aca="false">MAX(0,100-S71/5)</f>
        <v>100</v>
      </c>
      <c r="U71" s="5" t="n">
        <f aca="false">(N71+T71)/2</f>
        <v>93.5930400196893</v>
      </c>
      <c r="V71" s="5" t="str">
        <f aca="false">IF(U71&gt;=60,"Recommended","Not Recommended")</f>
        <v>Recommended</v>
      </c>
      <c r="W71" s="5" t="str">
        <f aca="false">IF(Q71&gt;0,"Increase insulation thickness or reduce opening area to cut heat loss",IF(R71&gt;0,"Increase shading/ventilation or reduce solar-facing openings to cut heat gain","Design meets estimated comfort band without major changes"))</f>
        <v>Design meets estimated comfort band without major changes</v>
      </c>
      <c r="X71" s="5" t="s">
        <v>555</v>
      </c>
    </row>
    <row r="72" customFormat="false" ht="15" hidden="false" customHeight="false" outlineLevel="0" collapsed="false">
      <c r="A72" s="5" t="str">
        <f aca="false">Combined_Scenarios!A72</f>
        <v>S071</v>
      </c>
      <c r="B72" s="5" t="n">
        <f aca="false">0.5+Combined_Scenarios!AA72*10</f>
        <v>0.79585798816568</v>
      </c>
      <c r="C72" s="5" t="n">
        <f aca="false">0.33*B72*Combined_Scenarios!Z72</f>
        <v>7.16988461538462</v>
      </c>
      <c r="D72" s="5" t="n">
        <f aca="false">Combined_Scenarios!W72*Combined_Scenarios!X72</f>
        <v>20.0275753397676</v>
      </c>
      <c r="E72" s="5" t="n">
        <f aca="false">C72+D72</f>
        <v>27.1974599551522</v>
      </c>
      <c r="F72" s="5" t="n">
        <f aca="false">0.5*Combined_Scenarios!Y72</f>
        <v>0.5</v>
      </c>
      <c r="G72" s="5" t="n">
        <f aca="false">Combined_Scenarios!K72*F72</f>
        <v>93.75</v>
      </c>
      <c r="H72" s="5" t="n">
        <f aca="false">Combined_Scenarios!H72+IF(E72=0,0,G72/E72)</f>
        <v>18.4470130723454</v>
      </c>
      <c r="I72" s="5" t="n">
        <f aca="false">H72-Combined_Scenarios!H72</f>
        <v>3.4470130723454</v>
      </c>
      <c r="J72" s="5" t="n">
        <f aca="false">E72*I72</f>
        <v>93.75</v>
      </c>
      <c r="K72" s="5" t="n">
        <f aca="false">0.31*Combined_Scenarios!H72+17.8</f>
        <v>22.45</v>
      </c>
      <c r="L72" s="5" t="n">
        <f aca="false">H72-K72</f>
        <v>-4.00298692765461</v>
      </c>
      <c r="M72" s="5" t="str">
        <f aca="false">IF(AND(H72&gt;=12,H72&lt;=35),"Within safe range","Outside safe range")</f>
        <v>Within safe range</v>
      </c>
      <c r="N72" s="5" t="n">
        <f aca="false">MAX(0,100-ABS(L72)*8)</f>
        <v>67.9761045787631</v>
      </c>
      <c r="O72" s="5" t="n">
        <f aca="false">MAX(-3,MIN(3,L72/3))</f>
        <v>-1.33432897588487</v>
      </c>
      <c r="P72" s="5" t="n">
        <f aca="false">100-95*EXP(-(0.03353*O72^4+0.2179*O72^2))</f>
        <v>42.0470124956686</v>
      </c>
      <c r="Q72" s="5" t="n">
        <f aca="false">IF(H72&lt;18,E72*(18-H72),0)</f>
        <v>0</v>
      </c>
      <c r="R72" s="5" t="n">
        <f aca="false">IF(H72&gt;26,E72*(H72-26),0)</f>
        <v>0</v>
      </c>
      <c r="S72" s="5" t="n">
        <f aca="false">Q72+R72</f>
        <v>0</v>
      </c>
      <c r="T72" s="5" t="n">
        <f aca="false">MAX(0,100-S72/5)</f>
        <v>100</v>
      </c>
      <c r="U72" s="5" t="n">
        <f aca="false">(N72+T72)/2</f>
        <v>83.9880522893816</v>
      </c>
      <c r="V72" s="5" t="str">
        <f aca="false">IF(U72&gt;=60,"Recommended","Not Recommended")</f>
        <v>Recommended</v>
      </c>
      <c r="W72" s="5" t="str">
        <f aca="false">IF(Q72&gt;0,"Increase insulation thickness or reduce opening area to cut heat loss",IF(R72&gt;0,"Increase shading/ventilation or reduce solar-facing openings to cut heat gain","Design meets estimated comfort band without major changes"))</f>
        <v>Design meets estimated comfort band without major changes</v>
      </c>
      <c r="X72" s="5" t="s">
        <v>555</v>
      </c>
    </row>
    <row r="73" customFormat="false" ht="15" hidden="false" customHeight="false" outlineLevel="0" collapsed="false">
      <c r="A73" s="5" t="str">
        <f aca="false">Combined_Scenarios!A73</f>
        <v>S072</v>
      </c>
      <c r="B73" s="5" t="n">
        <f aca="false">0.5+Combined_Scenarios!AA73*10</f>
        <v>0.79585798816568</v>
      </c>
      <c r="C73" s="5" t="n">
        <f aca="false">0.33*B73*Combined_Scenarios!Z73</f>
        <v>7.16988461538462</v>
      </c>
      <c r="D73" s="5" t="n">
        <f aca="false">Combined_Scenarios!W73*Combined_Scenarios!X73</f>
        <v>20.0275753397676</v>
      </c>
      <c r="E73" s="5" t="n">
        <f aca="false">C73+D73</f>
        <v>27.1974599551522</v>
      </c>
      <c r="F73" s="5" t="n">
        <f aca="false">0.5*Combined_Scenarios!Y73</f>
        <v>0.5</v>
      </c>
      <c r="G73" s="5" t="n">
        <f aca="false">Combined_Scenarios!K73*F73</f>
        <v>141.666666666667</v>
      </c>
      <c r="H73" s="5" t="n">
        <f aca="false">Combined_Scenarios!H73+IF(E73=0,0,G73/E73)</f>
        <v>37.2088197537664</v>
      </c>
      <c r="I73" s="5" t="n">
        <f aca="false">H73-Combined_Scenarios!H73</f>
        <v>5.20881975376637</v>
      </c>
      <c r="J73" s="5" t="n">
        <f aca="false">E73*I73</f>
        <v>141.666666666667</v>
      </c>
      <c r="K73" s="5" t="n">
        <f aca="false">0.31*Combined_Scenarios!H73+17.8</f>
        <v>27.72</v>
      </c>
      <c r="L73" s="5" t="n">
        <f aca="false">H73-K73</f>
        <v>9.48881975376637</v>
      </c>
      <c r="M73" s="5" t="str">
        <f aca="false">IF(AND(H73&gt;=12,H73&lt;=35),"Within safe range","Outside safe range")</f>
        <v>Outside safe range</v>
      </c>
      <c r="N73" s="5" t="n">
        <f aca="false">MAX(0,100-ABS(L73)*8)</f>
        <v>24.089441969869</v>
      </c>
      <c r="O73" s="5" t="n">
        <f aca="false">MAX(-3,MIN(3,L73/3))</f>
        <v>3</v>
      </c>
      <c r="P73" s="5" t="n">
        <f aca="false">100-95*EXP(-(0.03353*O73^4+0.2179*O73^2))</f>
        <v>99.1158717152693</v>
      </c>
      <c r="Q73" s="5" t="n">
        <f aca="false">IF(H73&lt;18,E73*(18-H73),0)</f>
        <v>0</v>
      </c>
      <c r="R73" s="5" t="n">
        <f aca="false">IF(H73&gt;26,E73*(H73-26),0)</f>
        <v>304.85142639758</v>
      </c>
      <c r="S73" s="5" t="n">
        <f aca="false">Q73+R73</f>
        <v>304.85142639758</v>
      </c>
      <c r="T73" s="5" t="n">
        <f aca="false">MAX(0,100-S73/5)</f>
        <v>39.0297147204841</v>
      </c>
      <c r="U73" s="5" t="n">
        <f aca="false">(N73+T73)/2</f>
        <v>31.5595783451765</v>
      </c>
      <c r="V73" s="5" t="str">
        <f aca="false">IF(U73&gt;=60,"Recommended","Not Recommended")</f>
        <v>Not Recommended</v>
      </c>
      <c r="W73" s="5" t="str">
        <f aca="false">IF(Q73&gt;0,"Increase insulation thickness or reduce opening area to cut heat loss",IF(R73&gt;0,"Increase shading/ventilation or reduce solar-facing openings to cut heat gain","Design meets estimated comfort band without major changes"))</f>
        <v>Increase shading/ventilation or reduce solar-facing openings to cut heat gain</v>
      </c>
      <c r="X73" s="5" t="s">
        <v>555</v>
      </c>
    </row>
    <row r="74" customFormat="false" ht="15" hidden="false" customHeight="false" outlineLevel="0" collapsed="false">
      <c r="A74" s="5" t="str">
        <f aca="false">Combined_Scenarios!A74</f>
        <v>S073</v>
      </c>
      <c r="B74" s="5" t="n">
        <f aca="false">0.5+Combined_Scenarios!AA74*10</f>
        <v>0.79585798816568</v>
      </c>
      <c r="C74" s="5" t="n">
        <f aca="false">0.33*B74*Combined_Scenarios!Z74</f>
        <v>7.16988461538462</v>
      </c>
      <c r="D74" s="5" t="n">
        <f aca="false">Combined_Scenarios!W74*Combined_Scenarios!X74</f>
        <v>20.0275753397676</v>
      </c>
      <c r="E74" s="5" t="n">
        <f aca="false">C74+D74</f>
        <v>27.1974599551522</v>
      </c>
      <c r="F74" s="5" t="n">
        <f aca="false">0.5*Combined_Scenarios!Y74</f>
        <v>0.5</v>
      </c>
      <c r="G74" s="5" t="n">
        <f aca="false">Combined_Scenarios!K74*F74</f>
        <v>114.583333333333</v>
      </c>
      <c r="H74" s="5" t="n">
        <f aca="false">Combined_Scenarios!H74+IF(E74=0,0,G74/E74)</f>
        <v>38.213015977311</v>
      </c>
      <c r="I74" s="5" t="n">
        <f aca="false">H74-Combined_Scenarios!H74</f>
        <v>4.21301597731104</v>
      </c>
      <c r="J74" s="5" t="n">
        <f aca="false">E74*I74</f>
        <v>114.583333333333</v>
      </c>
      <c r="K74" s="5" t="n">
        <f aca="false">0.31*Combined_Scenarios!H74+17.8</f>
        <v>28.34</v>
      </c>
      <c r="L74" s="5" t="n">
        <f aca="false">H74-K74</f>
        <v>9.87301597731104</v>
      </c>
      <c r="M74" s="5" t="str">
        <f aca="false">IF(AND(H74&gt;=12,H74&lt;=35),"Within safe range","Outside safe range")</f>
        <v>Outside safe range</v>
      </c>
      <c r="N74" s="5" t="n">
        <f aca="false">MAX(0,100-ABS(L74)*8)</f>
        <v>21.0158721815117</v>
      </c>
      <c r="O74" s="5" t="n">
        <f aca="false">MAX(-3,MIN(3,L74/3))</f>
        <v>3</v>
      </c>
      <c r="P74" s="5" t="n">
        <f aca="false">100-95*EXP(-(0.03353*O74^4+0.2179*O74^2))</f>
        <v>99.1158717152693</v>
      </c>
      <c r="Q74" s="5" t="n">
        <f aca="false">IF(H74&lt;18,E74*(18-H74),0)</f>
        <v>0</v>
      </c>
      <c r="R74" s="5" t="n">
        <f aca="false">IF(H74&gt;26,E74*(H74-26),0)</f>
        <v>332.163012974551</v>
      </c>
      <c r="S74" s="5" t="n">
        <f aca="false">Q74+R74</f>
        <v>332.163012974551</v>
      </c>
      <c r="T74" s="5" t="n">
        <f aca="false">MAX(0,100-S74/5)</f>
        <v>33.5673974050898</v>
      </c>
      <c r="U74" s="5" t="n">
        <f aca="false">(N74+T74)/2</f>
        <v>27.2916347933008</v>
      </c>
      <c r="V74" s="5" t="str">
        <f aca="false">IF(U74&gt;=60,"Recommended","Not Recommended")</f>
        <v>Not Recommended</v>
      </c>
      <c r="W74" s="5" t="str">
        <f aca="false">IF(Q74&gt;0,"Increase insulation thickness or reduce opening area to cut heat loss",IF(R74&gt;0,"Increase shading/ventilation or reduce solar-facing openings to cut heat gain","Design meets estimated comfort band without major changes"))</f>
        <v>Increase shading/ventilation or reduce solar-facing openings to cut heat gain</v>
      </c>
      <c r="X74" s="5" t="s">
        <v>555</v>
      </c>
    </row>
    <row r="75" customFormat="false" ht="15" hidden="false" customHeight="false" outlineLevel="0" collapsed="false">
      <c r="A75" s="5" t="str">
        <f aca="false">Combined_Scenarios!A75</f>
        <v>S074</v>
      </c>
      <c r="B75" s="5" t="n">
        <f aca="false">0.5+Combined_Scenarios!AA75*10</f>
        <v>0.79585798816568</v>
      </c>
      <c r="C75" s="5" t="n">
        <f aca="false">0.33*B75*Combined_Scenarios!Z75</f>
        <v>7.16988461538462</v>
      </c>
      <c r="D75" s="5" t="n">
        <f aca="false">Combined_Scenarios!W75*Combined_Scenarios!X75</f>
        <v>20.0275753397676</v>
      </c>
      <c r="E75" s="5" t="n">
        <f aca="false">C75+D75</f>
        <v>27.1974599551522</v>
      </c>
      <c r="F75" s="5" t="n">
        <f aca="false">0.5*Combined_Scenarios!Y75</f>
        <v>0.5</v>
      </c>
      <c r="G75" s="5" t="n">
        <f aca="false">Combined_Scenarios!K75*F75</f>
        <v>120.833333333333</v>
      </c>
      <c r="H75" s="5" t="n">
        <f aca="false">Combined_Scenarios!H75+IF(E75=0,0,G75/E75)</f>
        <v>36.4428168488007</v>
      </c>
      <c r="I75" s="5" t="n">
        <f aca="false">H75-Combined_Scenarios!H75</f>
        <v>4.44281684880073</v>
      </c>
      <c r="J75" s="5" t="n">
        <f aca="false">E75*I75</f>
        <v>120.833333333333</v>
      </c>
      <c r="K75" s="5" t="n">
        <f aca="false">0.31*Combined_Scenarios!H75+17.8</f>
        <v>27.72</v>
      </c>
      <c r="L75" s="5" t="n">
        <f aca="false">H75-K75</f>
        <v>8.72281684880073</v>
      </c>
      <c r="M75" s="5" t="str">
        <f aca="false">IF(AND(H75&gt;=12,H75&lt;=35),"Within safe range","Outside safe range")</f>
        <v>Outside safe range</v>
      </c>
      <c r="N75" s="5" t="n">
        <f aca="false">MAX(0,100-ABS(L75)*8)</f>
        <v>30.2174652095941</v>
      </c>
      <c r="O75" s="5" t="n">
        <f aca="false">MAX(-3,MIN(3,L75/3))</f>
        <v>2.90760561626691</v>
      </c>
      <c r="P75" s="5" t="n">
        <f aca="false">100-95*EXP(-(0.03353*O75^4+0.2179*O75^2))</f>
        <v>98.6294343313753</v>
      </c>
      <c r="Q75" s="5" t="n">
        <f aca="false">IF(H75&lt;18,E75*(18-H75),0)</f>
        <v>0</v>
      </c>
      <c r="R75" s="5" t="n">
        <f aca="false">IF(H75&gt;26,E75*(H75-26),0)</f>
        <v>284.018093064247</v>
      </c>
      <c r="S75" s="5" t="n">
        <f aca="false">Q75+R75</f>
        <v>284.018093064247</v>
      </c>
      <c r="T75" s="5" t="n">
        <f aca="false">MAX(0,100-S75/5)</f>
        <v>43.1963813871507</v>
      </c>
      <c r="U75" s="5" t="n">
        <f aca="false">(N75+T75)/2</f>
        <v>36.7069232983724</v>
      </c>
      <c r="V75" s="5" t="str">
        <f aca="false">IF(U75&gt;=60,"Recommended","Not Recommended")</f>
        <v>Not Recommended</v>
      </c>
      <c r="W75" s="5" t="str">
        <f aca="false">IF(Q75&gt;0,"Increase insulation thickness or reduce opening area to cut heat loss",IF(R75&gt;0,"Increase shading/ventilation or reduce solar-facing openings to cut heat gain","Design meets estimated comfort band without major changes"))</f>
        <v>Increase shading/ventilation or reduce solar-facing openings to cut heat gain</v>
      </c>
      <c r="X75" s="5" t="s">
        <v>555</v>
      </c>
    </row>
    <row r="76" customFormat="false" ht="15" hidden="false" customHeight="false" outlineLevel="0" collapsed="false">
      <c r="A76" s="5" t="str">
        <f aca="false">Combined_Scenarios!A76</f>
        <v>S075</v>
      </c>
      <c r="B76" s="5" t="n">
        <f aca="false">0.5+Combined_Scenarios!AA76*10</f>
        <v>0.79585798816568</v>
      </c>
      <c r="C76" s="5" t="n">
        <f aca="false">0.33*B76*Combined_Scenarios!Z76</f>
        <v>7.16988461538462</v>
      </c>
      <c r="D76" s="5" t="n">
        <f aca="false">Combined_Scenarios!W76*Combined_Scenarios!X76</f>
        <v>20.0275753397676</v>
      </c>
      <c r="E76" s="5" t="n">
        <f aca="false">C76+D76</f>
        <v>27.1974599551522</v>
      </c>
      <c r="F76" s="5" t="n">
        <f aca="false">0.5*Combined_Scenarios!Y76</f>
        <v>0.5</v>
      </c>
      <c r="G76" s="5" t="n">
        <f aca="false">Combined_Scenarios!K76*F76</f>
        <v>100</v>
      </c>
      <c r="H76" s="5" t="n">
        <f aca="false">Combined_Scenarios!H76+IF(E76=0,0,G76/E76)</f>
        <v>24.6768139438351</v>
      </c>
      <c r="I76" s="5" t="n">
        <f aca="false">H76-Combined_Scenarios!H76</f>
        <v>3.67681394383509</v>
      </c>
      <c r="J76" s="5" t="n">
        <f aca="false">E76*I76</f>
        <v>100</v>
      </c>
      <c r="K76" s="5" t="n">
        <f aca="false">0.31*Combined_Scenarios!H76+17.8</f>
        <v>24.31</v>
      </c>
      <c r="L76" s="5" t="n">
        <f aca="false">H76-K76</f>
        <v>0.366813943835084</v>
      </c>
      <c r="M76" s="5" t="str">
        <f aca="false">IF(AND(H76&gt;=12,H76&lt;=35),"Within safe range","Outside safe range")</f>
        <v>Within safe range</v>
      </c>
      <c r="N76" s="5" t="n">
        <f aca="false">MAX(0,100-ABS(L76)*8)</f>
        <v>97.0654884493193</v>
      </c>
      <c r="O76" s="5" t="n">
        <f aca="false">MAX(-3,MIN(3,L76/3))</f>
        <v>0.122271314611694</v>
      </c>
      <c r="P76" s="5" t="n">
        <f aca="false">100-95*EXP(-(0.03353*O76^4+0.2179*O76^2))</f>
        <v>5.30968425524166</v>
      </c>
      <c r="Q76" s="5" t="n">
        <f aca="false">IF(H76&lt;18,E76*(18-H76),0)</f>
        <v>0</v>
      </c>
      <c r="R76" s="5" t="n">
        <f aca="false">IF(H76&gt;26,E76*(H76-26),0)</f>
        <v>0</v>
      </c>
      <c r="S76" s="5" t="n">
        <f aca="false">Q76+R76</f>
        <v>0</v>
      </c>
      <c r="T76" s="5" t="n">
        <f aca="false">MAX(0,100-S76/5)</f>
        <v>100</v>
      </c>
      <c r="U76" s="5" t="n">
        <f aca="false">(N76+T76)/2</f>
        <v>98.5327442246597</v>
      </c>
      <c r="V76" s="5" t="str">
        <f aca="false">IF(U76&gt;=60,"Recommended","Not Recommended")</f>
        <v>Recommended</v>
      </c>
      <c r="W76" s="5" t="str">
        <f aca="false">IF(Q76&gt;0,"Increase insulation thickness or reduce opening area to cut heat loss",IF(R76&gt;0,"Increase shading/ventilation or reduce solar-facing openings to cut heat gain","Design meets estimated comfort band without major changes"))</f>
        <v>Design meets estimated comfort band without major changes</v>
      </c>
      <c r="X76" s="5" t="s">
        <v>555</v>
      </c>
    </row>
    <row r="77" customFormat="false" ht="15" hidden="false" customHeight="false" outlineLevel="0" collapsed="false">
      <c r="A77" s="5" t="str">
        <f aca="false">Combined_Scenarios!A77</f>
        <v>S076</v>
      </c>
      <c r="B77" s="5" t="n">
        <f aca="false">0.5+Combined_Scenarios!AA77*10</f>
        <v>0.800751879699248</v>
      </c>
      <c r="C77" s="5" t="n">
        <f aca="false">0.33*B77*Combined_Scenarios!Z77</f>
        <v>16.6476315789474</v>
      </c>
      <c r="D77" s="5" t="n">
        <f aca="false">Combined_Scenarios!W77*Combined_Scenarios!X77</f>
        <v>31.5067953515856</v>
      </c>
      <c r="E77" s="5" t="n">
        <f aca="false">C77+D77</f>
        <v>48.154426930533</v>
      </c>
      <c r="F77" s="5" t="n">
        <f aca="false">0.5*Combined_Scenarios!Y77</f>
        <v>0.8</v>
      </c>
      <c r="G77" s="5" t="n">
        <f aca="false">Combined_Scenarios!K77*F77</f>
        <v>150</v>
      </c>
      <c r="H77" s="5" t="n">
        <f aca="false">Combined_Scenarios!H77+IF(E77=0,0,G77/E77)</f>
        <v>18.1149784051296</v>
      </c>
      <c r="I77" s="5" t="n">
        <f aca="false">H77-Combined_Scenarios!H77</f>
        <v>3.11497840512957</v>
      </c>
      <c r="J77" s="5" t="n">
        <f aca="false">E77*I77</f>
        <v>150</v>
      </c>
      <c r="K77" s="5" t="n">
        <f aca="false">0.31*Combined_Scenarios!H77+17.8</f>
        <v>22.45</v>
      </c>
      <c r="L77" s="5" t="n">
        <f aca="false">H77-K77</f>
        <v>-4.33502159487043</v>
      </c>
      <c r="M77" s="5" t="str">
        <f aca="false">IF(AND(H77&gt;=12,H77&lt;=35),"Within safe range","Outside safe range")</f>
        <v>Within safe range</v>
      </c>
      <c r="N77" s="5" t="n">
        <f aca="false">MAX(0,100-ABS(L77)*8)</f>
        <v>65.3198272410365</v>
      </c>
      <c r="O77" s="5" t="n">
        <f aca="false">MAX(-3,MIN(3,L77/3))</f>
        <v>-1.44500719829014</v>
      </c>
      <c r="P77" s="5" t="n">
        <f aca="false">100-95*EXP(-(0.03353*O77^4+0.2179*O77^2))</f>
        <v>47.9240577383389</v>
      </c>
      <c r="Q77" s="5" t="n">
        <f aca="false">IF(H77&lt;18,E77*(18-H77),0)</f>
        <v>0</v>
      </c>
      <c r="R77" s="5" t="n">
        <f aca="false">IF(H77&gt;26,E77*(H77-26),0)</f>
        <v>0</v>
      </c>
      <c r="S77" s="5" t="n">
        <f aca="false">Q77+R77</f>
        <v>0</v>
      </c>
      <c r="T77" s="5" t="n">
        <f aca="false">MAX(0,100-S77/5)</f>
        <v>100</v>
      </c>
      <c r="U77" s="5" t="n">
        <f aca="false">(N77+T77)/2</f>
        <v>82.6599136205183</v>
      </c>
      <c r="V77" s="5" t="str">
        <f aca="false">IF(U77&gt;=60,"Recommended","Not Recommended")</f>
        <v>Recommended</v>
      </c>
      <c r="W77" s="5" t="str">
        <f aca="false">IF(Q77&gt;0,"Increase insulation thickness or reduce opening area to cut heat loss",IF(R77&gt;0,"Increase shading/ventilation or reduce solar-facing openings to cut heat gain","Design meets estimated comfort band without major changes"))</f>
        <v>Design meets estimated comfort band without major changes</v>
      </c>
      <c r="X77" s="5" t="s">
        <v>555</v>
      </c>
    </row>
    <row r="78" customFormat="false" ht="15" hidden="false" customHeight="false" outlineLevel="0" collapsed="false">
      <c r="A78" s="5" t="str">
        <f aca="false">Combined_Scenarios!A78</f>
        <v>S077</v>
      </c>
      <c r="B78" s="5" t="n">
        <f aca="false">0.5+Combined_Scenarios!AA78*10</f>
        <v>0.800751879699248</v>
      </c>
      <c r="C78" s="5" t="n">
        <f aca="false">0.33*B78*Combined_Scenarios!Z78</f>
        <v>16.6476315789474</v>
      </c>
      <c r="D78" s="5" t="n">
        <f aca="false">Combined_Scenarios!W78*Combined_Scenarios!X78</f>
        <v>31.5067953515856</v>
      </c>
      <c r="E78" s="5" t="n">
        <f aca="false">C78+D78</f>
        <v>48.154426930533</v>
      </c>
      <c r="F78" s="5" t="n">
        <f aca="false">0.5*Combined_Scenarios!Y78</f>
        <v>0.8</v>
      </c>
      <c r="G78" s="5" t="n">
        <f aca="false">Combined_Scenarios!K78*F78</f>
        <v>226.666666666667</v>
      </c>
      <c r="H78" s="5" t="n">
        <f aca="false">Combined_Scenarios!H78+IF(E78=0,0,G78/E78)</f>
        <v>36.7070784788625</v>
      </c>
      <c r="I78" s="5" t="n">
        <f aca="false">H78-Combined_Scenarios!H78</f>
        <v>4.70707847886246</v>
      </c>
      <c r="J78" s="5" t="n">
        <f aca="false">E78*I78</f>
        <v>226.666666666667</v>
      </c>
      <c r="K78" s="5" t="n">
        <f aca="false">0.31*Combined_Scenarios!H78+17.8</f>
        <v>27.72</v>
      </c>
      <c r="L78" s="5" t="n">
        <f aca="false">H78-K78</f>
        <v>8.98707847886247</v>
      </c>
      <c r="M78" s="5" t="str">
        <f aca="false">IF(AND(H78&gt;=12,H78&lt;=35),"Within safe range","Outside safe range")</f>
        <v>Outside safe range</v>
      </c>
      <c r="N78" s="5" t="n">
        <f aca="false">MAX(0,100-ABS(L78)*8)</f>
        <v>28.1033721691003</v>
      </c>
      <c r="O78" s="5" t="n">
        <f aca="false">MAX(-3,MIN(3,L78/3))</f>
        <v>2.99569282628749</v>
      </c>
      <c r="P78" s="5" t="n">
        <f aca="false">100-95*EXP(-(0.03353*O78^4+0.2179*O78^2))</f>
        <v>99.0969363133498</v>
      </c>
      <c r="Q78" s="5" t="n">
        <f aca="false">IF(H78&lt;18,E78*(18-H78),0)</f>
        <v>0</v>
      </c>
      <c r="R78" s="5" t="n">
        <f aca="false">IF(H78&gt;26,E78*(H78-26),0)</f>
        <v>515.593228249864</v>
      </c>
      <c r="S78" s="5" t="n">
        <f aca="false">Q78+R78</f>
        <v>515.593228249864</v>
      </c>
      <c r="T78" s="5" t="n">
        <f aca="false">MAX(0,100-S78/5)</f>
        <v>0</v>
      </c>
      <c r="U78" s="5" t="n">
        <f aca="false">(N78+T78)/2</f>
        <v>14.0516860845501</v>
      </c>
      <c r="V78" s="5" t="str">
        <f aca="false">IF(U78&gt;=60,"Recommended","Not Recommended")</f>
        <v>Not Recommended</v>
      </c>
      <c r="W78" s="5" t="str">
        <f aca="false">IF(Q78&gt;0,"Increase insulation thickness or reduce opening area to cut heat loss",IF(R78&gt;0,"Increase shading/ventilation or reduce solar-facing openings to cut heat gain","Design meets estimated comfort band without major changes"))</f>
        <v>Increase shading/ventilation or reduce solar-facing openings to cut heat gain</v>
      </c>
      <c r="X78" s="5" t="s">
        <v>555</v>
      </c>
    </row>
    <row r="79" customFormat="false" ht="15" hidden="false" customHeight="false" outlineLevel="0" collapsed="false">
      <c r="A79" s="5" t="str">
        <f aca="false">Combined_Scenarios!A79</f>
        <v>S078</v>
      </c>
      <c r="B79" s="5" t="n">
        <f aca="false">0.5+Combined_Scenarios!AA79*10</f>
        <v>0.800751879699248</v>
      </c>
      <c r="C79" s="5" t="n">
        <f aca="false">0.33*B79*Combined_Scenarios!Z79</f>
        <v>16.6476315789474</v>
      </c>
      <c r="D79" s="5" t="n">
        <f aca="false">Combined_Scenarios!W79*Combined_Scenarios!X79</f>
        <v>31.5067953515856</v>
      </c>
      <c r="E79" s="5" t="n">
        <f aca="false">C79+D79</f>
        <v>48.154426930533</v>
      </c>
      <c r="F79" s="5" t="n">
        <f aca="false">0.5*Combined_Scenarios!Y79</f>
        <v>0.8</v>
      </c>
      <c r="G79" s="5" t="n">
        <f aca="false">Combined_Scenarios!K79*F79</f>
        <v>183.333333333333</v>
      </c>
      <c r="H79" s="5" t="n">
        <f aca="false">Combined_Scenarios!H79+IF(E79=0,0,G79/E79)</f>
        <v>37.8071958284917</v>
      </c>
      <c r="I79" s="5" t="n">
        <f aca="false">H79-Combined_Scenarios!H79</f>
        <v>3.8071958284917</v>
      </c>
      <c r="J79" s="5" t="n">
        <f aca="false">E79*I79</f>
        <v>183.333333333333</v>
      </c>
      <c r="K79" s="5" t="n">
        <f aca="false">0.31*Combined_Scenarios!H79+17.8</f>
        <v>28.34</v>
      </c>
      <c r="L79" s="5" t="n">
        <f aca="false">H79-K79</f>
        <v>9.4671958284917</v>
      </c>
      <c r="M79" s="5" t="str">
        <f aca="false">IF(AND(H79&gt;=12,H79&lt;=35),"Within safe range","Outside safe range")</f>
        <v>Outside safe range</v>
      </c>
      <c r="N79" s="5" t="n">
        <f aca="false">MAX(0,100-ABS(L79)*8)</f>
        <v>24.2624333720664</v>
      </c>
      <c r="O79" s="5" t="n">
        <f aca="false">MAX(-3,MIN(3,L79/3))</f>
        <v>3</v>
      </c>
      <c r="P79" s="5" t="n">
        <f aca="false">100-95*EXP(-(0.03353*O79^4+0.2179*O79^2))</f>
        <v>99.1158717152693</v>
      </c>
      <c r="Q79" s="5" t="n">
        <f aca="false">IF(H79&lt;18,E79*(18-H79),0)</f>
        <v>0</v>
      </c>
      <c r="R79" s="5" t="n">
        <f aca="false">IF(H79&gt;26,E79*(H79-26),0)</f>
        <v>568.568748777597</v>
      </c>
      <c r="S79" s="5" t="n">
        <f aca="false">Q79+R79</f>
        <v>568.568748777597</v>
      </c>
      <c r="T79" s="5" t="n">
        <f aca="false">MAX(0,100-S79/5)</f>
        <v>0</v>
      </c>
      <c r="U79" s="5" t="n">
        <f aca="false">(N79+T79)/2</f>
        <v>12.1312166860332</v>
      </c>
      <c r="V79" s="5" t="str">
        <f aca="false">IF(U79&gt;=60,"Recommended","Not Recommended")</f>
        <v>Not Recommended</v>
      </c>
      <c r="W79" s="5" t="str">
        <f aca="false">IF(Q79&gt;0,"Increase insulation thickness or reduce opening area to cut heat loss",IF(R79&gt;0,"Increase shading/ventilation or reduce solar-facing openings to cut heat gain","Design meets estimated comfort band without major changes"))</f>
        <v>Increase shading/ventilation or reduce solar-facing openings to cut heat gain</v>
      </c>
      <c r="X79" s="5" t="s">
        <v>555</v>
      </c>
    </row>
    <row r="80" customFormat="false" ht="15" hidden="false" customHeight="false" outlineLevel="0" collapsed="false">
      <c r="A80" s="5" t="str">
        <f aca="false">Combined_Scenarios!A80</f>
        <v>S079</v>
      </c>
      <c r="B80" s="5" t="n">
        <f aca="false">0.5+Combined_Scenarios!AA80*10</f>
        <v>0.800751879699248</v>
      </c>
      <c r="C80" s="5" t="n">
        <f aca="false">0.33*B80*Combined_Scenarios!Z80</f>
        <v>16.6476315789474</v>
      </c>
      <c r="D80" s="5" t="n">
        <f aca="false">Combined_Scenarios!W80*Combined_Scenarios!X80</f>
        <v>31.5067953515856</v>
      </c>
      <c r="E80" s="5" t="n">
        <f aca="false">C80+D80</f>
        <v>48.154426930533</v>
      </c>
      <c r="F80" s="5" t="n">
        <f aca="false">0.5*Combined_Scenarios!Y80</f>
        <v>0.8</v>
      </c>
      <c r="G80" s="5" t="n">
        <f aca="false">Combined_Scenarios!K80*F80</f>
        <v>193.333333333333</v>
      </c>
      <c r="H80" s="5" t="n">
        <f aca="false">Combined_Scenarios!H80+IF(E80=0,0,G80/E80)</f>
        <v>36.0148610555003</v>
      </c>
      <c r="I80" s="5" t="n">
        <f aca="false">H80-Combined_Scenarios!H80</f>
        <v>4.01486105550033</v>
      </c>
      <c r="J80" s="5" t="n">
        <f aca="false">E80*I80</f>
        <v>193.333333333333</v>
      </c>
      <c r="K80" s="5" t="n">
        <f aca="false">0.31*Combined_Scenarios!H80+17.8</f>
        <v>27.72</v>
      </c>
      <c r="L80" s="5" t="n">
        <f aca="false">H80-K80</f>
        <v>8.29486105550033</v>
      </c>
      <c r="M80" s="5" t="str">
        <f aca="false">IF(AND(H80&gt;=12,H80&lt;=35),"Within safe range","Outside safe range")</f>
        <v>Outside safe range</v>
      </c>
      <c r="N80" s="5" t="n">
        <f aca="false">MAX(0,100-ABS(L80)*8)</f>
        <v>33.6411115559973</v>
      </c>
      <c r="O80" s="5" t="n">
        <f aca="false">MAX(-3,MIN(3,L80/3))</f>
        <v>2.76495368516678</v>
      </c>
      <c r="P80" s="5" t="n">
        <f aca="false">100-95*EXP(-(0.03353*O80^4+0.2179*O80^2))</f>
        <v>97.4696467741483</v>
      </c>
      <c r="Q80" s="5" t="n">
        <f aca="false">IF(H80&lt;18,E80*(18-H80),0)</f>
        <v>0</v>
      </c>
      <c r="R80" s="5" t="n">
        <f aca="false">IF(H80&gt;26,E80*(H80-26),0)</f>
        <v>482.259894916531</v>
      </c>
      <c r="S80" s="5" t="n">
        <f aca="false">Q80+R80</f>
        <v>482.259894916531</v>
      </c>
      <c r="T80" s="5" t="n">
        <f aca="false">MAX(0,100-S80/5)</f>
        <v>3.54802101669382</v>
      </c>
      <c r="U80" s="5" t="n">
        <f aca="false">(N80+T80)/2</f>
        <v>18.5945662863456</v>
      </c>
      <c r="V80" s="5" t="str">
        <f aca="false">IF(U80&gt;=60,"Recommended","Not Recommended")</f>
        <v>Not Recommended</v>
      </c>
      <c r="W80" s="5" t="str">
        <f aca="false">IF(Q80&gt;0,"Increase insulation thickness or reduce opening area to cut heat loss",IF(R80&gt;0,"Increase shading/ventilation or reduce solar-facing openings to cut heat gain","Design meets estimated comfort band without major changes"))</f>
        <v>Increase shading/ventilation or reduce solar-facing openings to cut heat gain</v>
      </c>
      <c r="X80" s="5" t="s">
        <v>555</v>
      </c>
    </row>
    <row r="81" customFormat="false" ht="15" hidden="false" customHeight="false" outlineLevel="0" collapsed="false">
      <c r="A81" s="5" t="str">
        <f aca="false">Combined_Scenarios!A81</f>
        <v>S080</v>
      </c>
      <c r="B81" s="5" t="n">
        <f aca="false">0.5+Combined_Scenarios!AA81*10</f>
        <v>0.800751879699248</v>
      </c>
      <c r="C81" s="5" t="n">
        <f aca="false">0.33*B81*Combined_Scenarios!Z81</f>
        <v>16.6476315789474</v>
      </c>
      <c r="D81" s="5" t="n">
        <f aca="false">Combined_Scenarios!W81*Combined_Scenarios!X81</f>
        <v>31.5067953515856</v>
      </c>
      <c r="E81" s="5" t="n">
        <f aca="false">C81+D81</f>
        <v>48.154426930533</v>
      </c>
      <c r="F81" s="5" t="n">
        <f aca="false">0.5*Combined_Scenarios!Y81</f>
        <v>0.8</v>
      </c>
      <c r="G81" s="5" t="n">
        <f aca="false">Combined_Scenarios!K81*F81</f>
        <v>160</v>
      </c>
      <c r="H81" s="5" t="n">
        <f aca="false">Combined_Scenarios!H81+IF(E81=0,0,G81/E81)</f>
        <v>24.3226436321382</v>
      </c>
      <c r="I81" s="5" t="n">
        <f aca="false">H81-Combined_Scenarios!H81</f>
        <v>3.32264363213821</v>
      </c>
      <c r="J81" s="5" t="n">
        <f aca="false">E81*I81</f>
        <v>160</v>
      </c>
      <c r="K81" s="5" t="n">
        <f aca="false">0.31*Combined_Scenarios!H81+17.8</f>
        <v>24.31</v>
      </c>
      <c r="L81" s="5" t="n">
        <f aca="false">H81-K81</f>
        <v>0.0126436321382073</v>
      </c>
      <c r="M81" s="5" t="str">
        <f aca="false">IF(AND(H81&gt;=12,H81&lt;=35),"Within safe range","Outside safe range")</f>
        <v>Within safe range</v>
      </c>
      <c r="N81" s="5" t="n">
        <f aca="false">MAX(0,100-ABS(L81)*8)</f>
        <v>99.8988509428943</v>
      </c>
      <c r="O81" s="5" t="n">
        <f aca="false">MAX(-3,MIN(3,L81/3))</f>
        <v>0.0042145440460691</v>
      </c>
      <c r="P81" s="5" t="n">
        <f aca="false">100-95*EXP(-(0.03353*O81^4+0.2179*O81^2))</f>
        <v>5.00036769047199</v>
      </c>
      <c r="Q81" s="5" t="n">
        <f aca="false">IF(H81&lt;18,E81*(18-H81),0)</f>
        <v>0</v>
      </c>
      <c r="R81" s="5" t="n">
        <f aca="false">IF(H81&gt;26,E81*(H81-26),0)</f>
        <v>0</v>
      </c>
      <c r="S81" s="5" t="n">
        <f aca="false">Q81+R81</f>
        <v>0</v>
      </c>
      <c r="T81" s="5" t="n">
        <f aca="false">MAX(0,100-S81/5)</f>
        <v>100</v>
      </c>
      <c r="U81" s="5" t="n">
        <f aca="false">(N81+T81)/2</f>
        <v>99.9494254714472</v>
      </c>
      <c r="V81" s="5" t="str">
        <f aca="false">IF(U81&gt;=60,"Recommended","Not Recommended")</f>
        <v>Recommended</v>
      </c>
      <c r="W81" s="5" t="str">
        <f aca="false">IF(Q81&gt;0,"Increase insulation thickness or reduce opening area to cut heat loss",IF(R81&gt;0,"Increase shading/ventilation or reduce solar-facing openings to cut heat gain","Design meets estimated comfort band without major changes"))</f>
        <v>Design meets estimated comfort band without major changes</v>
      </c>
      <c r="X81" s="5" t="s">
        <v>555</v>
      </c>
    </row>
    <row r="82" customFormat="false" ht="15" hidden="false" customHeight="false" outlineLevel="0" collapsed="false">
      <c r="A82" s="5" t="str">
        <f aca="false">Combined_Scenarios!A82</f>
        <v>S081</v>
      </c>
      <c r="B82" s="5" t="n">
        <f aca="false">0.5+Combined_Scenarios!AA82*10</f>
        <v>0.884615384615385</v>
      </c>
      <c r="C82" s="5" t="n">
        <f aca="false">0.33*B82*Combined_Scenarios!Z82</f>
        <v>9.29775</v>
      </c>
      <c r="D82" s="5" t="n">
        <f aca="false">Combined_Scenarios!W82*Combined_Scenarios!X82</f>
        <v>19.2905391405246</v>
      </c>
      <c r="E82" s="5" t="n">
        <f aca="false">C82+D82</f>
        <v>28.5882891405246</v>
      </c>
      <c r="F82" s="5" t="n">
        <f aca="false">0.5*Combined_Scenarios!Y82</f>
        <v>0.7</v>
      </c>
      <c r="G82" s="5" t="n">
        <f aca="false">Combined_Scenarios!K82*F82</f>
        <v>72.9166666666667</v>
      </c>
      <c r="H82" s="5" t="n">
        <f aca="false">Combined_Scenarios!H82+IF(E82=0,0,G82/E82)</f>
        <v>5.55057818634223</v>
      </c>
      <c r="I82" s="5" t="n">
        <f aca="false">H82-Combined_Scenarios!H82</f>
        <v>2.55057818634223</v>
      </c>
      <c r="J82" s="5" t="n">
        <f aca="false">E82*I82</f>
        <v>72.9166666666667</v>
      </c>
      <c r="K82" s="5" t="n">
        <f aca="false">0.31*Combined_Scenarios!H82+17.8</f>
        <v>18.73</v>
      </c>
      <c r="L82" s="5" t="n">
        <f aca="false">H82-K82</f>
        <v>-13.1794218136578</v>
      </c>
      <c r="M82" s="5" t="str">
        <f aca="false">IF(AND(H82&gt;=12,H82&lt;=35),"Within safe range","Outside safe range")</f>
        <v>Outside safe range</v>
      </c>
      <c r="N82" s="5" t="n">
        <f aca="false">MAX(0,100-ABS(L82)*8)</f>
        <v>0</v>
      </c>
      <c r="O82" s="5" t="n">
        <f aca="false">MAX(-3,MIN(3,L82/3))</f>
        <v>-3</v>
      </c>
      <c r="P82" s="5" t="n">
        <f aca="false">100-95*EXP(-(0.03353*O82^4+0.2179*O82^2))</f>
        <v>99.1158717152693</v>
      </c>
      <c r="Q82" s="5" t="n">
        <f aca="false">IF(H82&lt;18,E82*(18-H82),0)</f>
        <v>355.907670441203</v>
      </c>
      <c r="R82" s="5" t="n">
        <f aca="false">IF(H82&gt;26,E82*(H82-26),0)</f>
        <v>0</v>
      </c>
      <c r="S82" s="5" t="n">
        <f aca="false">Q82+R82</f>
        <v>355.907670441203</v>
      </c>
      <c r="T82" s="5" t="n">
        <f aca="false">MAX(0,100-S82/5)</f>
        <v>28.8184659117594</v>
      </c>
      <c r="U82" s="5" t="n">
        <f aca="false">(N82+T82)/2</f>
        <v>14.4092329558797</v>
      </c>
      <c r="V82" s="5" t="str">
        <f aca="false">IF(U82&gt;=60,"Recommended","Not Recommended")</f>
        <v>Not Recommended</v>
      </c>
      <c r="W82" s="5" t="str">
        <f aca="false">IF(Q82&gt;0,"Increase insulation thickness or reduce opening area to cut heat loss",IF(R82&gt;0,"Increase shading/ventilation or reduce solar-facing openings to cut heat gain","Design meets estimated comfort band without major changes"))</f>
        <v>Increase insulation thickness or reduce opening area to cut heat loss</v>
      </c>
      <c r="X82" s="5" t="s">
        <v>555</v>
      </c>
    </row>
    <row r="83" customFormat="false" ht="15" hidden="false" customHeight="false" outlineLevel="0" collapsed="false">
      <c r="A83" s="5" t="str">
        <f aca="false">Combined_Scenarios!A83</f>
        <v>S082</v>
      </c>
      <c r="B83" s="5" t="n">
        <f aca="false">0.5+Combined_Scenarios!AA83*10</f>
        <v>0.884615384615385</v>
      </c>
      <c r="C83" s="5" t="n">
        <f aca="false">0.33*B83*Combined_Scenarios!Z83</f>
        <v>9.29775</v>
      </c>
      <c r="D83" s="5" t="n">
        <f aca="false">Combined_Scenarios!W83*Combined_Scenarios!X83</f>
        <v>19.2905391405246</v>
      </c>
      <c r="E83" s="5" t="n">
        <f aca="false">C83+D83</f>
        <v>28.5882891405246</v>
      </c>
      <c r="F83" s="5" t="n">
        <f aca="false">0.5*Combined_Scenarios!Y83</f>
        <v>0.7</v>
      </c>
      <c r="G83" s="5" t="n">
        <f aca="false">Combined_Scenarios!K83*F83</f>
        <v>145.833333333333</v>
      </c>
      <c r="H83" s="5" t="n">
        <f aca="false">Combined_Scenarios!H83+IF(E83=0,0,G83/E83)</f>
        <v>20.1011563726845</v>
      </c>
      <c r="I83" s="5" t="n">
        <f aca="false">H83-Combined_Scenarios!H83</f>
        <v>5.10115637268446</v>
      </c>
      <c r="J83" s="5" t="n">
        <f aca="false">E83*I83</f>
        <v>145.833333333333</v>
      </c>
      <c r="K83" s="5" t="n">
        <f aca="false">0.31*Combined_Scenarios!H83+17.8</f>
        <v>22.45</v>
      </c>
      <c r="L83" s="5" t="n">
        <f aca="false">H83-K83</f>
        <v>-2.34884362731554</v>
      </c>
      <c r="M83" s="5" t="str">
        <f aca="false">IF(AND(H83&gt;=12,H83&lt;=35),"Within safe range","Outside safe range")</f>
        <v>Within safe range</v>
      </c>
      <c r="N83" s="5" t="n">
        <f aca="false">MAX(0,100-ABS(L83)*8)</f>
        <v>81.2092509814757</v>
      </c>
      <c r="O83" s="5" t="n">
        <f aca="false">MAX(-3,MIN(3,L83/3))</f>
        <v>-0.782947875771846</v>
      </c>
      <c r="P83" s="5" t="n">
        <f aca="false">100-95*EXP(-(0.03353*O83^4+0.2179*O83^2))</f>
        <v>17.9193133881297</v>
      </c>
      <c r="Q83" s="5" t="n">
        <f aca="false">IF(H83&lt;18,E83*(18-H83),0)</f>
        <v>0</v>
      </c>
      <c r="R83" s="5" t="n">
        <f aca="false">IF(H83&gt;26,E83*(H83-26),0)</f>
        <v>0</v>
      </c>
      <c r="S83" s="5" t="n">
        <f aca="false">Q83+R83</f>
        <v>0</v>
      </c>
      <c r="T83" s="5" t="n">
        <f aca="false">MAX(0,100-S83/5)</f>
        <v>100</v>
      </c>
      <c r="U83" s="5" t="n">
        <f aca="false">(N83+T83)/2</f>
        <v>90.6046254907379</v>
      </c>
      <c r="V83" s="5" t="str">
        <f aca="false">IF(U83&gt;=60,"Recommended","Not Recommended")</f>
        <v>Recommended</v>
      </c>
      <c r="W83" s="5" t="str">
        <f aca="false">IF(Q83&gt;0,"Increase insulation thickness or reduce opening area to cut heat loss",IF(R83&gt;0,"Increase shading/ventilation or reduce solar-facing openings to cut heat gain","Design meets estimated comfort band without major changes"))</f>
        <v>Design meets estimated comfort band without major changes</v>
      </c>
      <c r="X83" s="5" t="s">
        <v>555</v>
      </c>
    </row>
    <row r="84" customFormat="false" ht="15" hidden="false" customHeight="false" outlineLevel="0" collapsed="false">
      <c r="A84" s="5" t="str">
        <f aca="false">Combined_Scenarios!A84</f>
        <v>S083</v>
      </c>
      <c r="B84" s="5" t="n">
        <f aca="false">0.5+Combined_Scenarios!AA84*10</f>
        <v>0.884615384615385</v>
      </c>
      <c r="C84" s="5" t="n">
        <f aca="false">0.33*B84*Combined_Scenarios!Z84</f>
        <v>9.29775</v>
      </c>
      <c r="D84" s="5" t="n">
        <f aca="false">Combined_Scenarios!W84*Combined_Scenarios!X84</f>
        <v>19.2905391405246</v>
      </c>
      <c r="E84" s="5" t="n">
        <f aca="false">C84+D84</f>
        <v>28.5882891405246</v>
      </c>
      <c r="F84" s="5" t="n">
        <f aca="false">0.5*Combined_Scenarios!Y84</f>
        <v>0.7</v>
      </c>
      <c r="G84" s="5" t="n">
        <f aca="false">Combined_Scenarios!K84*F84</f>
        <v>145.833333333333</v>
      </c>
      <c r="H84" s="5" t="n">
        <f aca="false">Combined_Scenarios!H84+IF(E84=0,0,G84/E84)</f>
        <v>31.1011563726845</v>
      </c>
      <c r="I84" s="5" t="n">
        <f aca="false">H84-Combined_Scenarios!H84</f>
        <v>5.10115637268446</v>
      </c>
      <c r="J84" s="5" t="n">
        <f aca="false">E84*I84</f>
        <v>145.833333333333</v>
      </c>
      <c r="K84" s="5" t="n">
        <f aca="false">0.31*Combined_Scenarios!H84+17.8</f>
        <v>25.86</v>
      </c>
      <c r="L84" s="5" t="n">
        <f aca="false">H84-K84</f>
        <v>5.24115637268447</v>
      </c>
      <c r="M84" s="5" t="str">
        <f aca="false">IF(AND(H84&gt;=12,H84&lt;=35),"Within safe range","Outside safe range")</f>
        <v>Within safe range</v>
      </c>
      <c r="N84" s="5" t="n">
        <f aca="false">MAX(0,100-ABS(L84)*8)</f>
        <v>58.0707490185243</v>
      </c>
      <c r="O84" s="5" t="n">
        <f aca="false">MAX(-3,MIN(3,L84/3))</f>
        <v>1.74705212422816</v>
      </c>
      <c r="P84" s="5" t="n">
        <f aca="false">100-95*EXP(-(0.03353*O84^4+0.2179*O84^2))</f>
        <v>64.253823863157</v>
      </c>
      <c r="Q84" s="5" t="n">
        <f aca="false">IF(H84&lt;18,E84*(18-H84),0)</f>
        <v>0</v>
      </c>
      <c r="R84" s="5" t="n">
        <f aca="false">IF(H84&gt;26,E84*(H84-26),0)</f>
        <v>145.833333333333</v>
      </c>
      <c r="S84" s="5" t="n">
        <f aca="false">Q84+R84</f>
        <v>145.833333333333</v>
      </c>
      <c r="T84" s="5" t="n">
        <f aca="false">MAX(0,100-S84/5)</f>
        <v>70.8333333333333</v>
      </c>
      <c r="U84" s="5" t="n">
        <f aca="false">(N84+T84)/2</f>
        <v>64.4520411759288</v>
      </c>
      <c r="V84" s="5" t="str">
        <f aca="false">IF(U84&gt;=60,"Recommended","Not Recommended")</f>
        <v>Recommended</v>
      </c>
      <c r="W84" s="5" t="str">
        <f aca="false">IF(Q84&gt;0,"Increase insulation thickness or reduce opening area to cut heat loss",IF(R84&gt;0,"Increase shading/ventilation or reduce solar-facing openings to cut heat gain","Design meets estimated comfort band without major changes"))</f>
        <v>Increase shading/ventilation or reduce solar-facing openings to cut heat gain</v>
      </c>
      <c r="X84" s="5" t="s">
        <v>555</v>
      </c>
    </row>
    <row r="85" customFormat="false" ht="15" hidden="false" customHeight="false" outlineLevel="0" collapsed="false">
      <c r="A85" s="5" t="str">
        <f aca="false">Combined_Scenarios!A85</f>
        <v>S084</v>
      </c>
      <c r="B85" s="5" t="n">
        <f aca="false">0.5+Combined_Scenarios!AA85*10</f>
        <v>0.884615384615385</v>
      </c>
      <c r="C85" s="5" t="n">
        <f aca="false">0.33*B85*Combined_Scenarios!Z85</f>
        <v>9.29775</v>
      </c>
      <c r="D85" s="5" t="n">
        <f aca="false">Combined_Scenarios!W85*Combined_Scenarios!X85</f>
        <v>19.2905391405246</v>
      </c>
      <c r="E85" s="5" t="n">
        <f aca="false">C85+D85</f>
        <v>28.5882891405246</v>
      </c>
      <c r="F85" s="5" t="n">
        <f aca="false">0.5*Combined_Scenarios!Y85</f>
        <v>0.7</v>
      </c>
      <c r="G85" s="5" t="n">
        <f aca="false">Combined_Scenarios!K85*F85</f>
        <v>131.25</v>
      </c>
      <c r="H85" s="5" t="n">
        <f aca="false">Combined_Scenarios!H85+IF(E85=0,0,G85/E85)</f>
        <v>26.591040735416</v>
      </c>
      <c r="I85" s="5" t="n">
        <f aca="false">H85-Combined_Scenarios!H85</f>
        <v>4.59104073541602</v>
      </c>
      <c r="J85" s="5" t="n">
        <f aca="false">E85*I85</f>
        <v>131.25</v>
      </c>
      <c r="K85" s="5" t="n">
        <f aca="false">0.31*Combined_Scenarios!H85+17.8</f>
        <v>24.62</v>
      </c>
      <c r="L85" s="5" t="n">
        <f aca="false">H85-K85</f>
        <v>1.97104073541602</v>
      </c>
      <c r="M85" s="5" t="str">
        <f aca="false">IF(AND(H85&gt;=12,H85&lt;=35),"Within safe range","Outside safe range")</f>
        <v>Within safe range</v>
      </c>
      <c r="N85" s="5" t="n">
        <f aca="false">MAX(0,100-ABS(L85)*8)</f>
        <v>84.2316741166719</v>
      </c>
      <c r="O85" s="5" t="n">
        <f aca="false">MAX(-3,MIN(3,L85/3))</f>
        <v>0.657013578472006</v>
      </c>
      <c r="P85" s="5" t="n">
        <f aca="false">100-95*EXP(-(0.03353*O85^4+0.2179*O85^2))</f>
        <v>14.0669218936567</v>
      </c>
      <c r="Q85" s="5" t="n">
        <f aca="false">IF(H85&lt;18,E85*(18-H85),0)</f>
        <v>0</v>
      </c>
      <c r="R85" s="5" t="n">
        <f aca="false">IF(H85&gt;26,E85*(H85-26),0)</f>
        <v>16.8968434379015</v>
      </c>
      <c r="S85" s="5" t="n">
        <f aca="false">Q85+R85</f>
        <v>16.8968434379015</v>
      </c>
      <c r="T85" s="5" t="n">
        <f aca="false">MAX(0,100-S85/5)</f>
        <v>96.6206313124197</v>
      </c>
      <c r="U85" s="5" t="n">
        <f aca="false">(N85+T85)/2</f>
        <v>90.4261527145458</v>
      </c>
      <c r="V85" s="5" t="str">
        <f aca="false">IF(U85&gt;=60,"Recommended","Not Recommended")</f>
        <v>Recommended</v>
      </c>
      <c r="W85" s="5" t="str">
        <f aca="false">IF(Q85&gt;0,"Increase insulation thickness or reduce opening area to cut heat loss",IF(R85&gt;0,"Increase shading/ventilation or reduce solar-facing openings to cut heat gain","Design meets estimated comfort band without major changes"))</f>
        <v>Increase shading/ventilation or reduce solar-facing openings to cut heat gain</v>
      </c>
      <c r="X85" s="5" t="s">
        <v>555</v>
      </c>
    </row>
    <row r="86" customFormat="false" ht="15" hidden="false" customHeight="false" outlineLevel="0" collapsed="false">
      <c r="A86" s="5" t="str">
        <f aca="false">Combined_Scenarios!A86</f>
        <v>S085</v>
      </c>
      <c r="B86" s="5" t="n">
        <f aca="false">0.5+Combined_Scenarios!AA86*10</f>
        <v>0.884615384615385</v>
      </c>
      <c r="C86" s="5" t="n">
        <f aca="false">0.33*B86*Combined_Scenarios!Z86</f>
        <v>9.29775</v>
      </c>
      <c r="D86" s="5" t="n">
        <f aca="false">Combined_Scenarios!W86*Combined_Scenarios!X86</f>
        <v>19.2905391405246</v>
      </c>
      <c r="E86" s="5" t="n">
        <f aca="false">C86+D86</f>
        <v>28.5882891405246</v>
      </c>
      <c r="F86" s="5" t="n">
        <f aca="false">0.5*Combined_Scenarios!Y86</f>
        <v>0.7</v>
      </c>
      <c r="G86" s="5" t="n">
        <f aca="false">Combined_Scenarios!K86*F86</f>
        <v>87.5</v>
      </c>
      <c r="H86" s="5" t="n">
        <f aca="false">Combined_Scenarios!H86+IF(E86=0,0,G86/E86)</f>
        <v>13.0606938236107</v>
      </c>
      <c r="I86" s="5" t="n">
        <f aca="false">H86-Combined_Scenarios!H86</f>
        <v>3.06069382361068</v>
      </c>
      <c r="J86" s="5" t="n">
        <f aca="false">E86*I86</f>
        <v>87.5</v>
      </c>
      <c r="K86" s="5" t="n">
        <f aca="false">0.31*Combined_Scenarios!H86+17.8</f>
        <v>20.9</v>
      </c>
      <c r="L86" s="5" t="n">
        <f aca="false">H86-K86</f>
        <v>-7.83930617638932</v>
      </c>
      <c r="M86" s="5" t="str">
        <f aca="false">IF(AND(H86&gt;=12,H86&lt;=35),"Within safe range","Outside safe range")</f>
        <v>Within safe range</v>
      </c>
      <c r="N86" s="5" t="n">
        <f aca="false">MAX(0,100-ABS(L86)*8)</f>
        <v>37.2855505888854</v>
      </c>
      <c r="O86" s="5" t="n">
        <f aca="false">MAX(-3,MIN(3,L86/3))</f>
        <v>-2.61310205879644</v>
      </c>
      <c r="P86" s="5" t="n">
        <f aca="false">100-95*EXP(-(0.03353*O86^4+0.2179*O86^2))</f>
        <v>95.506510192169</v>
      </c>
      <c r="Q86" s="5" t="n">
        <f aca="false">IF(H86&lt;18,E86*(18-H86),0)</f>
        <v>141.206313124197</v>
      </c>
      <c r="R86" s="5" t="n">
        <f aca="false">IF(H86&gt;26,E86*(H86-26),0)</f>
        <v>0</v>
      </c>
      <c r="S86" s="5" t="n">
        <f aca="false">Q86+R86</f>
        <v>141.206313124197</v>
      </c>
      <c r="T86" s="5" t="n">
        <f aca="false">MAX(0,100-S86/5)</f>
        <v>71.7587373751606</v>
      </c>
      <c r="U86" s="5" t="n">
        <f aca="false">(N86+T86)/2</f>
        <v>54.522143982023</v>
      </c>
      <c r="V86" s="5" t="str">
        <f aca="false">IF(U86&gt;=60,"Recommended","Not Recommended")</f>
        <v>Not Recommended</v>
      </c>
      <c r="W86" s="5" t="str">
        <f aca="false">IF(Q86&gt;0,"Increase insulation thickness or reduce opening area to cut heat loss",IF(R86&gt;0,"Increase shading/ventilation or reduce solar-facing openings to cut heat gain","Design meets estimated comfort band without major changes"))</f>
        <v>Increase insulation thickness or reduce opening area to cut heat loss</v>
      </c>
      <c r="X86" s="5" t="s">
        <v>555</v>
      </c>
    </row>
    <row r="87" customFormat="false" ht="15" hidden="false" customHeight="false" outlineLevel="0" collapsed="false">
      <c r="A87" s="5" t="str">
        <f aca="false">Combined_Scenarios!A87</f>
        <v>S086</v>
      </c>
      <c r="B87" s="5" t="n">
        <f aca="false">0.5+Combined_Scenarios!AA87*10</f>
        <v>0.889863547758285</v>
      </c>
      <c r="C87" s="5" t="n">
        <f aca="false">0.33*B87*Combined_Scenarios!Z87</f>
        <v>17.8395394736842</v>
      </c>
      <c r="D87" s="5" t="n">
        <f aca="false">Combined_Scenarios!W87*Combined_Scenarios!X87</f>
        <v>27.1721022750818</v>
      </c>
      <c r="E87" s="5" t="n">
        <f aca="false">C87+D87</f>
        <v>45.0116417487661</v>
      </c>
      <c r="F87" s="5" t="n">
        <f aca="false">0.5*Combined_Scenarios!Y87</f>
        <v>1</v>
      </c>
      <c r="G87" s="5" t="n">
        <f aca="false">Combined_Scenarios!K87*F87</f>
        <v>104.166666666667</v>
      </c>
      <c r="H87" s="5" t="n">
        <f aca="false">Combined_Scenarios!H87+IF(E87=0,0,G87/E87)</f>
        <v>5.31421611431274</v>
      </c>
      <c r="I87" s="5" t="n">
        <f aca="false">H87-Combined_Scenarios!H87</f>
        <v>2.31421611431274</v>
      </c>
      <c r="J87" s="5" t="n">
        <f aca="false">E87*I87</f>
        <v>104.166666666667</v>
      </c>
      <c r="K87" s="5" t="n">
        <f aca="false">0.31*Combined_Scenarios!H87+17.8</f>
        <v>18.73</v>
      </c>
      <c r="L87" s="5" t="n">
        <f aca="false">H87-K87</f>
        <v>-13.4157838856873</v>
      </c>
      <c r="M87" s="5" t="str">
        <f aca="false">IF(AND(H87&gt;=12,H87&lt;=35),"Within safe range","Outside safe range")</f>
        <v>Outside safe range</v>
      </c>
      <c r="N87" s="5" t="n">
        <f aca="false">MAX(0,100-ABS(L87)*8)</f>
        <v>0</v>
      </c>
      <c r="O87" s="5" t="n">
        <f aca="false">MAX(-3,MIN(3,L87/3))</f>
        <v>-3</v>
      </c>
      <c r="P87" s="5" t="n">
        <f aca="false">100-95*EXP(-(0.03353*O87^4+0.2179*O87^2))</f>
        <v>99.1158717152693</v>
      </c>
      <c r="Q87" s="5" t="n">
        <f aca="false">IF(H87&lt;18,E87*(18-H87),0)</f>
        <v>571.007959564824</v>
      </c>
      <c r="R87" s="5" t="n">
        <f aca="false">IF(H87&gt;26,E87*(H87-26),0)</f>
        <v>0</v>
      </c>
      <c r="S87" s="5" t="n">
        <f aca="false">Q87+R87</f>
        <v>571.007959564824</v>
      </c>
      <c r="T87" s="5" t="n">
        <f aca="false">MAX(0,100-S87/5)</f>
        <v>0</v>
      </c>
      <c r="U87" s="5" t="n">
        <f aca="false">(N87+T87)/2</f>
        <v>0</v>
      </c>
      <c r="V87" s="5" t="str">
        <f aca="false">IF(U87&gt;=60,"Recommended","Not Recommended")</f>
        <v>Not Recommended</v>
      </c>
      <c r="W87" s="5" t="str">
        <f aca="false">IF(Q87&gt;0,"Increase insulation thickness or reduce opening area to cut heat loss",IF(R87&gt;0,"Increase shading/ventilation or reduce solar-facing openings to cut heat gain","Design meets estimated comfort band without major changes"))</f>
        <v>Increase insulation thickness or reduce opening area to cut heat loss</v>
      </c>
      <c r="X87" s="5" t="s">
        <v>555</v>
      </c>
    </row>
    <row r="88" customFormat="false" ht="15" hidden="false" customHeight="false" outlineLevel="0" collapsed="false">
      <c r="A88" s="5" t="str">
        <f aca="false">Combined_Scenarios!A88</f>
        <v>S087</v>
      </c>
      <c r="B88" s="5" t="n">
        <f aca="false">0.5+Combined_Scenarios!AA88*10</f>
        <v>0.889863547758285</v>
      </c>
      <c r="C88" s="5" t="n">
        <f aca="false">0.33*B88*Combined_Scenarios!Z88</f>
        <v>17.8395394736842</v>
      </c>
      <c r="D88" s="5" t="n">
        <f aca="false">Combined_Scenarios!W88*Combined_Scenarios!X88</f>
        <v>27.1721022750818</v>
      </c>
      <c r="E88" s="5" t="n">
        <f aca="false">C88+D88</f>
        <v>45.0116417487661</v>
      </c>
      <c r="F88" s="5" t="n">
        <f aca="false">0.5*Combined_Scenarios!Y88</f>
        <v>1</v>
      </c>
      <c r="G88" s="5" t="n">
        <f aca="false">Combined_Scenarios!K88*F88</f>
        <v>208.333333333333</v>
      </c>
      <c r="H88" s="5" t="n">
        <f aca="false">Combined_Scenarios!H88+IF(E88=0,0,G88/E88)</f>
        <v>19.6284322286255</v>
      </c>
      <c r="I88" s="5" t="n">
        <f aca="false">H88-Combined_Scenarios!H88</f>
        <v>4.62843222862549</v>
      </c>
      <c r="J88" s="5" t="n">
        <f aca="false">E88*I88</f>
        <v>208.333333333333</v>
      </c>
      <c r="K88" s="5" t="n">
        <f aca="false">0.31*Combined_Scenarios!H88+17.8</f>
        <v>22.45</v>
      </c>
      <c r="L88" s="5" t="n">
        <f aca="false">H88-K88</f>
        <v>-2.82156777137451</v>
      </c>
      <c r="M88" s="5" t="str">
        <f aca="false">IF(AND(H88&gt;=12,H88&lt;=35),"Within safe range","Outside safe range")</f>
        <v>Within safe range</v>
      </c>
      <c r="N88" s="5" t="n">
        <f aca="false">MAX(0,100-ABS(L88)*8)</f>
        <v>77.4274578290039</v>
      </c>
      <c r="O88" s="5" t="n">
        <f aca="false">MAX(-3,MIN(3,L88/3))</f>
        <v>-0.940522590458171</v>
      </c>
      <c r="P88" s="5" t="n">
        <f aca="false">100-95*EXP(-(0.03353*O88^4+0.2179*O88^2))</f>
        <v>23.6834718675428</v>
      </c>
      <c r="Q88" s="5" t="n">
        <f aca="false">IF(H88&lt;18,E88*(18-H88),0)</f>
        <v>0</v>
      </c>
      <c r="R88" s="5" t="n">
        <f aca="false">IF(H88&gt;26,E88*(H88-26),0)</f>
        <v>0</v>
      </c>
      <c r="S88" s="5" t="n">
        <f aca="false">Q88+R88</f>
        <v>0</v>
      </c>
      <c r="T88" s="5" t="n">
        <f aca="false">MAX(0,100-S88/5)</f>
        <v>100</v>
      </c>
      <c r="U88" s="5" t="n">
        <f aca="false">(N88+T88)/2</f>
        <v>88.7137289145019</v>
      </c>
      <c r="V88" s="5" t="str">
        <f aca="false">IF(U88&gt;=60,"Recommended","Not Recommended")</f>
        <v>Recommended</v>
      </c>
      <c r="W88" s="5" t="str">
        <f aca="false">IF(Q88&gt;0,"Increase insulation thickness or reduce opening area to cut heat loss",IF(R88&gt;0,"Increase shading/ventilation or reduce solar-facing openings to cut heat gain","Design meets estimated comfort band without major changes"))</f>
        <v>Design meets estimated comfort band without major changes</v>
      </c>
      <c r="X88" s="5" t="s">
        <v>555</v>
      </c>
    </row>
    <row r="89" customFormat="false" ht="15" hidden="false" customHeight="false" outlineLevel="0" collapsed="false">
      <c r="A89" s="5" t="str">
        <f aca="false">Combined_Scenarios!A89</f>
        <v>S088</v>
      </c>
      <c r="B89" s="5" t="n">
        <f aca="false">0.5+Combined_Scenarios!AA89*10</f>
        <v>0.889863547758285</v>
      </c>
      <c r="C89" s="5" t="n">
        <f aca="false">0.33*B89*Combined_Scenarios!Z89</f>
        <v>17.8395394736842</v>
      </c>
      <c r="D89" s="5" t="n">
        <f aca="false">Combined_Scenarios!W89*Combined_Scenarios!X89</f>
        <v>27.1721022750818</v>
      </c>
      <c r="E89" s="5" t="n">
        <f aca="false">C89+D89</f>
        <v>45.0116417487661</v>
      </c>
      <c r="F89" s="5" t="n">
        <f aca="false">0.5*Combined_Scenarios!Y89</f>
        <v>1</v>
      </c>
      <c r="G89" s="5" t="n">
        <f aca="false">Combined_Scenarios!K89*F89</f>
        <v>208.333333333333</v>
      </c>
      <c r="H89" s="5" t="n">
        <f aca="false">Combined_Scenarios!H89+IF(E89=0,0,G89/E89)</f>
        <v>30.6284322286255</v>
      </c>
      <c r="I89" s="5" t="n">
        <f aca="false">H89-Combined_Scenarios!H89</f>
        <v>4.62843222862549</v>
      </c>
      <c r="J89" s="5" t="n">
        <f aca="false">E89*I89</f>
        <v>208.333333333333</v>
      </c>
      <c r="K89" s="5" t="n">
        <f aca="false">0.31*Combined_Scenarios!H89+17.8</f>
        <v>25.86</v>
      </c>
      <c r="L89" s="5" t="n">
        <f aca="false">H89-K89</f>
        <v>4.76843222862549</v>
      </c>
      <c r="M89" s="5" t="str">
        <f aca="false">IF(AND(H89&gt;=12,H89&lt;=35),"Within safe range","Outside safe range")</f>
        <v>Within safe range</v>
      </c>
      <c r="N89" s="5" t="n">
        <f aca="false">MAX(0,100-ABS(L89)*8)</f>
        <v>61.8525421709961</v>
      </c>
      <c r="O89" s="5" t="n">
        <f aca="false">MAX(-3,MIN(3,L89/3))</f>
        <v>1.58947740954183</v>
      </c>
      <c r="P89" s="5" t="n">
        <f aca="false">100-95*EXP(-(0.03353*O89^4+0.2179*O89^2))</f>
        <v>55.7724624910517</v>
      </c>
      <c r="Q89" s="5" t="n">
        <f aca="false">IF(H89&lt;18,E89*(18-H89),0)</f>
        <v>0</v>
      </c>
      <c r="R89" s="5" t="n">
        <f aca="false">IF(H89&gt;26,E89*(H89-26),0)</f>
        <v>208.333333333333</v>
      </c>
      <c r="S89" s="5" t="n">
        <f aca="false">Q89+R89</f>
        <v>208.333333333333</v>
      </c>
      <c r="T89" s="5" t="n">
        <f aca="false">MAX(0,100-S89/5)</f>
        <v>58.3333333333333</v>
      </c>
      <c r="U89" s="5" t="n">
        <f aca="false">(N89+T89)/2</f>
        <v>60.0929377521647</v>
      </c>
      <c r="V89" s="5" t="str">
        <f aca="false">IF(U89&gt;=60,"Recommended","Not Recommended")</f>
        <v>Recommended</v>
      </c>
      <c r="W89" s="5" t="str">
        <f aca="false">IF(Q89&gt;0,"Increase insulation thickness or reduce opening area to cut heat loss",IF(R89&gt;0,"Increase shading/ventilation or reduce solar-facing openings to cut heat gain","Design meets estimated comfort band without major changes"))</f>
        <v>Increase shading/ventilation or reduce solar-facing openings to cut heat gain</v>
      </c>
      <c r="X89" s="5" t="s">
        <v>555</v>
      </c>
    </row>
    <row r="90" customFormat="false" ht="15" hidden="false" customHeight="false" outlineLevel="0" collapsed="false">
      <c r="A90" s="5" t="str">
        <f aca="false">Combined_Scenarios!A90</f>
        <v>S089</v>
      </c>
      <c r="B90" s="5" t="n">
        <f aca="false">0.5+Combined_Scenarios!AA90*10</f>
        <v>0.889863547758285</v>
      </c>
      <c r="C90" s="5" t="n">
        <f aca="false">0.33*B90*Combined_Scenarios!Z90</f>
        <v>17.8395394736842</v>
      </c>
      <c r="D90" s="5" t="n">
        <f aca="false">Combined_Scenarios!W90*Combined_Scenarios!X90</f>
        <v>27.1721022750818</v>
      </c>
      <c r="E90" s="5" t="n">
        <f aca="false">C90+D90</f>
        <v>45.0116417487661</v>
      </c>
      <c r="F90" s="5" t="n">
        <f aca="false">0.5*Combined_Scenarios!Y90</f>
        <v>1</v>
      </c>
      <c r="G90" s="5" t="n">
        <f aca="false">Combined_Scenarios!K90*F90</f>
        <v>187.5</v>
      </c>
      <c r="H90" s="5" t="n">
        <f aca="false">Combined_Scenarios!H90+IF(E90=0,0,G90/E90)</f>
        <v>26.1655890057629</v>
      </c>
      <c r="I90" s="5" t="n">
        <f aca="false">H90-Combined_Scenarios!H90</f>
        <v>4.16558900576294</v>
      </c>
      <c r="J90" s="5" t="n">
        <f aca="false">E90*I90</f>
        <v>187.5</v>
      </c>
      <c r="K90" s="5" t="n">
        <f aca="false">0.31*Combined_Scenarios!H90+17.8</f>
        <v>24.62</v>
      </c>
      <c r="L90" s="5" t="n">
        <f aca="false">H90-K90</f>
        <v>1.54558900576294</v>
      </c>
      <c r="M90" s="5" t="str">
        <f aca="false">IF(AND(H90&gt;=12,H90&lt;=35),"Within safe range","Outside safe range")</f>
        <v>Within safe range</v>
      </c>
      <c r="N90" s="5" t="n">
        <f aca="false">MAX(0,100-ABS(L90)*8)</f>
        <v>87.6352879538965</v>
      </c>
      <c r="O90" s="5" t="n">
        <f aca="false">MAX(-3,MIN(3,L90/3))</f>
        <v>0.515196335254313</v>
      </c>
      <c r="P90" s="5" t="n">
        <f aca="false">100-95*EXP(-(0.03353*O90^4+0.2179*O90^2))</f>
        <v>10.5501576450684</v>
      </c>
      <c r="Q90" s="5" t="n">
        <f aca="false">IF(H90&lt;18,E90*(18-H90),0)</f>
        <v>0</v>
      </c>
      <c r="R90" s="5" t="n">
        <f aca="false">IF(H90&gt;26,E90*(H90-26),0)</f>
        <v>7.45343300493578</v>
      </c>
      <c r="S90" s="5" t="n">
        <f aca="false">Q90+R90</f>
        <v>7.45343300493578</v>
      </c>
      <c r="T90" s="5" t="n">
        <f aca="false">MAX(0,100-S90/5)</f>
        <v>98.5093133990128</v>
      </c>
      <c r="U90" s="5" t="n">
        <f aca="false">(N90+T90)/2</f>
        <v>93.0723006764547</v>
      </c>
      <c r="V90" s="5" t="str">
        <f aca="false">IF(U90&gt;=60,"Recommended","Not Recommended")</f>
        <v>Recommended</v>
      </c>
      <c r="W90" s="5" t="str">
        <f aca="false">IF(Q90&gt;0,"Increase insulation thickness or reduce opening area to cut heat loss",IF(R90&gt;0,"Increase shading/ventilation or reduce solar-facing openings to cut heat gain","Design meets estimated comfort band without major changes"))</f>
        <v>Increase shading/ventilation or reduce solar-facing openings to cut heat gain</v>
      </c>
      <c r="X90" s="5" t="s">
        <v>555</v>
      </c>
    </row>
    <row r="91" customFormat="false" ht="15" hidden="false" customHeight="false" outlineLevel="0" collapsed="false">
      <c r="A91" s="5" t="str">
        <f aca="false">Combined_Scenarios!A91</f>
        <v>S090</v>
      </c>
      <c r="B91" s="5" t="n">
        <f aca="false">0.5+Combined_Scenarios!AA91*10</f>
        <v>0.889863547758285</v>
      </c>
      <c r="C91" s="5" t="n">
        <f aca="false">0.33*B91*Combined_Scenarios!Z91</f>
        <v>17.8395394736842</v>
      </c>
      <c r="D91" s="5" t="n">
        <f aca="false">Combined_Scenarios!W91*Combined_Scenarios!X91</f>
        <v>27.1721022750818</v>
      </c>
      <c r="E91" s="5" t="n">
        <f aca="false">C91+D91</f>
        <v>45.0116417487661</v>
      </c>
      <c r="F91" s="5" t="n">
        <f aca="false">0.5*Combined_Scenarios!Y91</f>
        <v>1</v>
      </c>
      <c r="G91" s="5" t="n">
        <f aca="false">Combined_Scenarios!K91*F91</f>
        <v>125</v>
      </c>
      <c r="H91" s="5" t="n">
        <f aca="false">Combined_Scenarios!H91+IF(E91=0,0,G91/E91)</f>
        <v>12.7770593371753</v>
      </c>
      <c r="I91" s="5" t="n">
        <f aca="false">H91-Combined_Scenarios!H91</f>
        <v>2.77705933717529</v>
      </c>
      <c r="J91" s="5" t="n">
        <f aca="false">E91*I91</f>
        <v>125</v>
      </c>
      <c r="K91" s="5" t="n">
        <f aca="false">0.31*Combined_Scenarios!H91+17.8</f>
        <v>20.9</v>
      </c>
      <c r="L91" s="5" t="n">
        <f aca="false">H91-K91</f>
        <v>-8.12294066282471</v>
      </c>
      <c r="M91" s="5" t="str">
        <f aca="false">IF(AND(H91&gt;=12,H91&lt;=35),"Within safe range","Outside safe range")</f>
        <v>Within safe range</v>
      </c>
      <c r="N91" s="5" t="n">
        <f aca="false">MAX(0,100-ABS(L91)*8)</f>
        <v>35.0164746974023</v>
      </c>
      <c r="O91" s="5" t="n">
        <f aca="false">MAX(-3,MIN(3,L91/3))</f>
        <v>-2.70764688760824</v>
      </c>
      <c r="P91" s="5" t="n">
        <f aca="false">100-95*EXP(-(0.03353*O91^4+0.2179*O91^2))</f>
        <v>96.8285754469469</v>
      </c>
      <c r="Q91" s="5" t="n">
        <f aca="false">IF(H91&lt;18,E91*(18-H91),0)</f>
        <v>235.093133990129</v>
      </c>
      <c r="R91" s="5" t="n">
        <f aca="false">IF(H91&gt;26,E91*(H91-26),0)</f>
        <v>0</v>
      </c>
      <c r="S91" s="5" t="n">
        <f aca="false">Q91+R91</f>
        <v>235.093133990129</v>
      </c>
      <c r="T91" s="5" t="n">
        <f aca="false">MAX(0,100-S91/5)</f>
        <v>52.9813732019743</v>
      </c>
      <c r="U91" s="5" t="n">
        <f aca="false">(N91+T91)/2</f>
        <v>43.9989239496883</v>
      </c>
      <c r="V91" s="5" t="str">
        <f aca="false">IF(U91&gt;=60,"Recommended","Not Recommended")</f>
        <v>Not Recommended</v>
      </c>
      <c r="W91" s="5" t="str">
        <f aca="false">IF(Q91&gt;0,"Increase insulation thickness or reduce opening area to cut heat loss",IF(R91&gt;0,"Increase shading/ventilation or reduce solar-facing openings to cut heat gain","Design meets estimated comfort band without major changes"))</f>
        <v>Increase insulation thickness or reduce opening area to cut heat loss</v>
      </c>
      <c r="X91" s="5" t="s">
        <v>555</v>
      </c>
    </row>
    <row r="92" customFormat="false" ht="15" hidden="false" customHeight="false" outlineLevel="0" collapsed="false">
      <c r="A92" s="5" t="str">
        <f aca="false">Combined_Scenarios!A92</f>
        <v>S091</v>
      </c>
      <c r="B92" s="5" t="n">
        <f aca="false">0.5+Combined_Scenarios!AA92*10</f>
        <v>0.884615384615385</v>
      </c>
      <c r="C92" s="5" t="n">
        <f aca="false">0.33*B92*Combined_Scenarios!Z92</f>
        <v>9.29775</v>
      </c>
      <c r="D92" s="5" t="n">
        <f aca="false">Combined_Scenarios!W92*Combined_Scenarios!X92</f>
        <v>11.1815714251399</v>
      </c>
      <c r="E92" s="5" t="n">
        <f aca="false">C92+D92</f>
        <v>20.4793214251399</v>
      </c>
      <c r="F92" s="5" t="n">
        <f aca="false">0.5*Combined_Scenarios!Y92</f>
        <v>0.7</v>
      </c>
      <c r="G92" s="5" t="n">
        <f aca="false">Combined_Scenarios!K92*F92</f>
        <v>72.9166666666667</v>
      </c>
      <c r="H92" s="5" t="n">
        <f aca="false">Combined_Scenarios!H92+IF(E92=0,0,G92/E92)</f>
        <v>6.56050208661484</v>
      </c>
      <c r="I92" s="5" t="n">
        <f aca="false">H92-Combined_Scenarios!H92</f>
        <v>3.56050208661484</v>
      </c>
      <c r="J92" s="5" t="n">
        <f aca="false">E92*I92</f>
        <v>72.9166666666667</v>
      </c>
      <c r="K92" s="5" t="n">
        <f aca="false">0.31*Combined_Scenarios!H92+17.8</f>
        <v>18.73</v>
      </c>
      <c r="L92" s="5" t="n">
        <f aca="false">H92-K92</f>
        <v>-12.1694979133852</v>
      </c>
      <c r="M92" s="5" t="str">
        <f aca="false">IF(AND(H92&gt;=12,H92&lt;=35),"Within safe range","Outside safe range")</f>
        <v>Outside safe range</v>
      </c>
      <c r="N92" s="5" t="n">
        <f aca="false">MAX(0,100-ABS(L92)*8)</f>
        <v>2.64401669291871</v>
      </c>
      <c r="O92" s="5" t="n">
        <f aca="false">MAX(-3,MIN(3,L92/3))</f>
        <v>-3</v>
      </c>
      <c r="P92" s="5" t="n">
        <f aca="false">100-95*EXP(-(0.03353*O92^4+0.2179*O92^2))</f>
        <v>99.1158717152693</v>
      </c>
      <c r="Q92" s="5" t="n">
        <f aca="false">IF(H92&lt;18,E92*(18-H92),0)</f>
        <v>234.273154710432</v>
      </c>
      <c r="R92" s="5" t="n">
        <f aca="false">IF(H92&gt;26,E92*(H92-26),0)</f>
        <v>0</v>
      </c>
      <c r="S92" s="5" t="n">
        <f aca="false">Q92+R92</f>
        <v>234.273154710432</v>
      </c>
      <c r="T92" s="5" t="n">
        <f aca="false">MAX(0,100-S92/5)</f>
        <v>53.1453690579136</v>
      </c>
      <c r="U92" s="5" t="n">
        <f aca="false">(N92+T92)/2</f>
        <v>27.8946928754161</v>
      </c>
      <c r="V92" s="5" t="str">
        <f aca="false">IF(U92&gt;=60,"Recommended","Not Recommended")</f>
        <v>Not Recommended</v>
      </c>
      <c r="W92" s="5" t="str">
        <f aca="false">IF(Q92&gt;0,"Increase insulation thickness or reduce opening area to cut heat loss",IF(R92&gt;0,"Increase shading/ventilation or reduce solar-facing openings to cut heat gain","Design meets estimated comfort band without major changes"))</f>
        <v>Increase insulation thickness or reduce opening area to cut heat loss</v>
      </c>
      <c r="X92" s="5" t="s">
        <v>555</v>
      </c>
    </row>
    <row r="93" customFormat="false" ht="15" hidden="false" customHeight="false" outlineLevel="0" collapsed="false">
      <c r="A93" s="5" t="str">
        <f aca="false">Combined_Scenarios!A93</f>
        <v>S092</v>
      </c>
      <c r="B93" s="5" t="n">
        <f aca="false">0.5+Combined_Scenarios!AA93*10</f>
        <v>0.884615384615385</v>
      </c>
      <c r="C93" s="5" t="n">
        <f aca="false">0.33*B93*Combined_Scenarios!Z93</f>
        <v>9.29775</v>
      </c>
      <c r="D93" s="5" t="n">
        <f aca="false">Combined_Scenarios!W93*Combined_Scenarios!X93</f>
        <v>11.1815714251399</v>
      </c>
      <c r="E93" s="5" t="n">
        <f aca="false">C93+D93</f>
        <v>20.4793214251399</v>
      </c>
      <c r="F93" s="5" t="n">
        <f aca="false">0.5*Combined_Scenarios!Y93</f>
        <v>0.7</v>
      </c>
      <c r="G93" s="5" t="n">
        <f aca="false">Combined_Scenarios!K93*F93</f>
        <v>145.833333333333</v>
      </c>
      <c r="H93" s="5" t="n">
        <f aca="false">Combined_Scenarios!H93+IF(E93=0,0,G93/E93)</f>
        <v>22.1210041732297</v>
      </c>
      <c r="I93" s="5" t="n">
        <f aca="false">H93-Combined_Scenarios!H93</f>
        <v>7.12100417322968</v>
      </c>
      <c r="J93" s="5" t="n">
        <f aca="false">E93*I93</f>
        <v>145.833333333333</v>
      </c>
      <c r="K93" s="5" t="n">
        <f aca="false">0.31*Combined_Scenarios!H93+17.8</f>
        <v>22.45</v>
      </c>
      <c r="L93" s="5" t="n">
        <f aca="false">H93-K93</f>
        <v>-0.328995826770324</v>
      </c>
      <c r="M93" s="5" t="str">
        <f aca="false">IF(AND(H93&gt;=12,H93&lt;=35),"Within safe range","Outside safe range")</f>
        <v>Within safe range</v>
      </c>
      <c r="N93" s="5" t="n">
        <f aca="false">MAX(0,100-ABS(L93)*8)</f>
        <v>97.3680333858374</v>
      </c>
      <c r="O93" s="5" t="n">
        <f aca="false">MAX(-3,MIN(3,L93/3))</f>
        <v>-0.109665275590108</v>
      </c>
      <c r="P93" s="5" t="n">
        <f aca="false">100-95*EXP(-(0.03353*O93^4+0.2179*O93^2))</f>
        <v>5.24908759133179</v>
      </c>
      <c r="Q93" s="5" t="n">
        <f aca="false">IF(H93&lt;18,E93*(18-H93),0)</f>
        <v>0</v>
      </c>
      <c r="R93" s="5" t="n">
        <f aca="false">IF(H93&gt;26,E93*(H93-26),0)</f>
        <v>0</v>
      </c>
      <c r="S93" s="5" t="n">
        <f aca="false">Q93+R93</f>
        <v>0</v>
      </c>
      <c r="T93" s="5" t="n">
        <f aca="false">MAX(0,100-S93/5)</f>
        <v>100</v>
      </c>
      <c r="U93" s="5" t="n">
        <f aca="false">(N93+T93)/2</f>
        <v>98.6840166929187</v>
      </c>
      <c r="V93" s="5" t="str">
        <f aca="false">IF(U93&gt;=60,"Recommended","Not Recommended")</f>
        <v>Recommended</v>
      </c>
      <c r="W93" s="5" t="str">
        <f aca="false">IF(Q93&gt;0,"Increase insulation thickness or reduce opening area to cut heat loss",IF(R93&gt;0,"Increase shading/ventilation or reduce solar-facing openings to cut heat gain","Design meets estimated comfort band without major changes"))</f>
        <v>Design meets estimated comfort band without major changes</v>
      </c>
      <c r="X93" s="5" t="s">
        <v>555</v>
      </c>
    </row>
    <row r="94" customFormat="false" ht="15" hidden="false" customHeight="false" outlineLevel="0" collapsed="false">
      <c r="A94" s="5" t="str">
        <f aca="false">Combined_Scenarios!A94</f>
        <v>S093</v>
      </c>
      <c r="B94" s="5" t="n">
        <f aca="false">0.5+Combined_Scenarios!AA94*10</f>
        <v>0.884615384615385</v>
      </c>
      <c r="C94" s="5" t="n">
        <f aca="false">0.33*B94*Combined_Scenarios!Z94</f>
        <v>9.29775</v>
      </c>
      <c r="D94" s="5" t="n">
        <f aca="false">Combined_Scenarios!W94*Combined_Scenarios!X94</f>
        <v>11.1815714251399</v>
      </c>
      <c r="E94" s="5" t="n">
        <f aca="false">C94+D94</f>
        <v>20.4793214251399</v>
      </c>
      <c r="F94" s="5" t="n">
        <f aca="false">0.5*Combined_Scenarios!Y94</f>
        <v>0.7</v>
      </c>
      <c r="G94" s="5" t="n">
        <f aca="false">Combined_Scenarios!K94*F94</f>
        <v>145.833333333333</v>
      </c>
      <c r="H94" s="5" t="n">
        <f aca="false">Combined_Scenarios!H94+IF(E94=0,0,G94/E94)</f>
        <v>33.1210041732297</v>
      </c>
      <c r="I94" s="5" t="n">
        <f aca="false">H94-Combined_Scenarios!H94</f>
        <v>7.12100417322968</v>
      </c>
      <c r="J94" s="5" t="n">
        <f aca="false">E94*I94</f>
        <v>145.833333333333</v>
      </c>
      <c r="K94" s="5" t="n">
        <f aca="false">0.31*Combined_Scenarios!H94+17.8</f>
        <v>25.86</v>
      </c>
      <c r="L94" s="5" t="n">
        <f aca="false">H94-K94</f>
        <v>7.26100417322968</v>
      </c>
      <c r="M94" s="5" t="str">
        <f aca="false">IF(AND(H94&gt;=12,H94&lt;=35),"Within safe range","Outside safe range")</f>
        <v>Within safe range</v>
      </c>
      <c r="N94" s="5" t="n">
        <f aca="false">MAX(0,100-ABS(L94)*8)</f>
        <v>41.9119666141626</v>
      </c>
      <c r="O94" s="5" t="n">
        <f aca="false">MAX(-3,MIN(3,L94/3))</f>
        <v>2.42033472440989</v>
      </c>
      <c r="P94" s="5" t="n">
        <f aca="false">100-95*EXP(-(0.03353*O94^4+0.2179*O94^2))</f>
        <v>91.6121402792879</v>
      </c>
      <c r="Q94" s="5" t="n">
        <f aca="false">IF(H94&lt;18,E94*(18-H94),0)</f>
        <v>0</v>
      </c>
      <c r="R94" s="5" t="n">
        <f aca="false">IF(H94&gt;26,E94*(H94-26),0)</f>
        <v>145.833333333333</v>
      </c>
      <c r="S94" s="5" t="n">
        <f aca="false">Q94+R94</f>
        <v>145.833333333333</v>
      </c>
      <c r="T94" s="5" t="n">
        <f aca="false">MAX(0,100-S94/5)</f>
        <v>70.8333333333333</v>
      </c>
      <c r="U94" s="5" t="n">
        <f aca="false">(N94+T94)/2</f>
        <v>56.372649973748</v>
      </c>
      <c r="V94" s="5" t="str">
        <f aca="false">IF(U94&gt;=60,"Recommended","Not Recommended")</f>
        <v>Not Recommended</v>
      </c>
      <c r="W94" s="5" t="str">
        <f aca="false">IF(Q94&gt;0,"Increase insulation thickness or reduce opening area to cut heat loss",IF(R94&gt;0,"Increase shading/ventilation or reduce solar-facing openings to cut heat gain","Design meets estimated comfort band without major changes"))</f>
        <v>Increase shading/ventilation or reduce solar-facing openings to cut heat gain</v>
      </c>
      <c r="X94" s="5" t="s">
        <v>555</v>
      </c>
    </row>
    <row r="95" customFormat="false" ht="15" hidden="false" customHeight="false" outlineLevel="0" collapsed="false">
      <c r="A95" s="5" t="str">
        <f aca="false">Combined_Scenarios!A95</f>
        <v>S094</v>
      </c>
      <c r="B95" s="5" t="n">
        <f aca="false">0.5+Combined_Scenarios!AA95*10</f>
        <v>0.884615384615385</v>
      </c>
      <c r="C95" s="5" t="n">
        <f aca="false">0.33*B95*Combined_Scenarios!Z95</f>
        <v>9.29775</v>
      </c>
      <c r="D95" s="5" t="n">
        <f aca="false">Combined_Scenarios!W95*Combined_Scenarios!X95</f>
        <v>11.1815714251399</v>
      </c>
      <c r="E95" s="5" t="n">
        <f aca="false">C95+D95</f>
        <v>20.4793214251399</v>
      </c>
      <c r="F95" s="5" t="n">
        <f aca="false">0.5*Combined_Scenarios!Y95</f>
        <v>0.7</v>
      </c>
      <c r="G95" s="5" t="n">
        <f aca="false">Combined_Scenarios!K95*F95</f>
        <v>131.25</v>
      </c>
      <c r="H95" s="5" t="n">
        <f aca="false">Combined_Scenarios!H95+IF(E95=0,0,G95/E95)</f>
        <v>28.4089037559067</v>
      </c>
      <c r="I95" s="5" t="n">
        <f aca="false">H95-Combined_Scenarios!H95</f>
        <v>6.40890375590671</v>
      </c>
      <c r="J95" s="5" t="n">
        <f aca="false">E95*I95</f>
        <v>131.25</v>
      </c>
      <c r="K95" s="5" t="n">
        <f aca="false">0.31*Combined_Scenarios!H95+17.8</f>
        <v>24.62</v>
      </c>
      <c r="L95" s="5" t="n">
        <f aca="false">H95-K95</f>
        <v>3.78890375590671</v>
      </c>
      <c r="M95" s="5" t="str">
        <f aca="false">IF(AND(H95&gt;=12,H95&lt;=35),"Within safe range","Outside safe range")</f>
        <v>Within safe range</v>
      </c>
      <c r="N95" s="5" t="n">
        <f aca="false">MAX(0,100-ABS(L95)*8)</f>
        <v>69.6887699527463</v>
      </c>
      <c r="O95" s="5" t="n">
        <f aca="false">MAX(-3,MIN(3,L95/3))</f>
        <v>1.26296791863557</v>
      </c>
      <c r="P95" s="5" t="n">
        <f aca="false">100-95*EXP(-(0.03353*O95^4+0.2179*O95^2))</f>
        <v>38.3793736888246</v>
      </c>
      <c r="Q95" s="5" t="n">
        <f aca="false">IF(H95&lt;18,E95*(18-H95),0)</f>
        <v>0</v>
      </c>
      <c r="R95" s="5" t="n">
        <f aca="false">IF(H95&gt;26,E95*(H95-26),0)</f>
        <v>49.3327142994403</v>
      </c>
      <c r="S95" s="5" t="n">
        <f aca="false">Q95+R95</f>
        <v>49.3327142994403</v>
      </c>
      <c r="T95" s="5" t="n">
        <f aca="false">MAX(0,100-S95/5)</f>
        <v>90.1334571401119</v>
      </c>
      <c r="U95" s="5" t="n">
        <f aca="false">(N95+T95)/2</f>
        <v>79.9111135464291</v>
      </c>
      <c r="V95" s="5" t="str">
        <f aca="false">IF(U95&gt;=60,"Recommended","Not Recommended")</f>
        <v>Recommended</v>
      </c>
      <c r="W95" s="5" t="str">
        <f aca="false">IF(Q95&gt;0,"Increase insulation thickness or reduce opening area to cut heat loss",IF(R95&gt;0,"Increase shading/ventilation or reduce solar-facing openings to cut heat gain","Design meets estimated comfort band without major changes"))</f>
        <v>Increase shading/ventilation or reduce solar-facing openings to cut heat gain</v>
      </c>
      <c r="X95" s="5" t="s">
        <v>555</v>
      </c>
    </row>
    <row r="96" customFormat="false" ht="15" hidden="false" customHeight="false" outlineLevel="0" collapsed="false">
      <c r="A96" s="5" t="str">
        <f aca="false">Combined_Scenarios!A96</f>
        <v>S095</v>
      </c>
      <c r="B96" s="5" t="n">
        <f aca="false">0.5+Combined_Scenarios!AA96*10</f>
        <v>0.884615384615385</v>
      </c>
      <c r="C96" s="5" t="n">
        <f aca="false">0.33*B96*Combined_Scenarios!Z96</f>
        <v>9.29775</v>
      </c>
      <c r="D96" s="5" t="n">
        <f aca="false">Combined_Scenarios!W96*Combined_Scenarios!X96</f>
        <v>11.1815714251399</v>
      </c>
      <c r="E96" s="5" t="n">
        <f aca="false">C96+D96</f>
        <v>20.4793214251399</v>
      </c>
      <c r="F96" s="5" t="n">
        <f aca="false">0.5*Combined_Scenarios!Y96</f>
        <v>0.7</v>
      </c>
      <c r="G96" s="5" t="n">
        <f aca="false">Combined_Scenarios!K96*F96</f>
        <v>87.5</v>
      </c>
      <c r="H96" s="5" t="n">
        <f aca="false">Combined_Scenarios!H96+IF(E96=0,0,G96/E96)</f>
        <v>14.2726025039378</v>
      </c>
      <c r="I96" s="5" t="n">
        <f aca="false">H96-Combined_Scenarios!H96</f>
        <v>4.27260250393781</v>
      </c>
      <c r="J96" s="5" t="n">
        <f aca="false">E96*I96</f>
        <v>87.5</v>
      </c>
      <c r="K96" s="5" t="n">
        <f aca="false">0.31*Combined_Scenarios!H96+17.8</f>
        <v>20.9</v>
      </c>
      <c r="L96" s="5" t="n">
        <f aca="false">H96-K96</f>
        <v>-6.6273974960622</v>
      </c>
      <c r="M96" s="5" t="str">
        <f aca="false">IF(AND(H96&gt;=12,H96&lt;=35),"Within safe range","Outside safe range")</f>
        <v>Within safe range</v>
      </c>
      <c r="N96" s="5" t="n">
        <f aca="false">MAX(0,100-ABS(L96)*8)</f>
        <v>46.9808200315024</v>
      </c>
      <c r="O96" s="5" t="n">
        <f aca="false">MAX(-3,MIN(3,L96/3))</f>
        <v>-2.2091324986874</v>
      </c>
      <c r="P96" s="5" t="n">
        <f aca="false">100-95*EXP(-(0.03353*O96^4+0.2179*O96^2))</f>
        <v>85.2405607053544</v>
      </c>
      <c r="Q96" s="5" t="n">
        <f aca="false">IF(H96&lt;18,E96*(18-H96),0)</f>
        <v>76.3345714011194</v>
      </c>
      <c r="R96" s="5" t="n">
        <f aca="false">IF(H96&gt;26,E96*(H96-26),0)</f>
        <v>0</v>
      </c>
      <c r="S96" s="5" t="n">
        <f aca="false">Q96+R96</f>
        <v>76.3345714011194</v>
      </c>
      <c r="T96" s="5" t="n">
        <f aca="false">MAX(0,100-S96/5)</f>
        <v>84.7330857197761</v>
      </c>
      <c r="U96" s="5" t="n">
        <f aca="false">(N96+T96)/2</f>
        <v>65.8569528756393</v>
      </c>
      <c r="V96" s="5" t="str">
        <f aca="false">IF(U96&gt;=60,"Recommended","Not Recommended")</f>
        <v>Recommended</v>
      </c>
      <c r="W96" s="5" t="str">
        <f aca="false">IF(Q96&gt;0,"Increase insulation thickness or reduce opening area to cut heat loss",IF(R96&gt;0,"Increase shading/ventilation or reduce solar-facing openings to cut heat gain","Design meets estimated comfort band without major changes"))</f>
        <v>Increase insulation thickness or reduce opening area to cut heat loss</v>
      </c>
      <c r="X96" s="5" t="s">
        <v>555</v>
      </c>
    </row>
    <row r="97" customFormat="false" ht="15" hidden="false" customHeight="false" outlineLevel="0" collapsed="false">
      <c r="A97" s="5" t="str">
        <f aca="false">Combined_Scenarios!A97</f>
        <v>S096</v>
      </c>
      <c r="B97" s="5" t="n">
        <f aca="false">0.5+Combined_Scenarios!AA97*10</f>
        <v>0.889863547758285</v>
      </c>
      <c r="C97" s="5" t="n">
        <f aca="false">0.33*B97*Combined_Scenarios!Z97</f>
        <v>17.8395394736842</v>
      </c>
      <c r="D97" s="5" t="n">
        <f aca="false">Combined_Scenarios!W97*Combined_Scenarios!X97</f>
        <v>15.7500420359828</v>
      </c>
      <c r="E97" s="5" t="n">
        <f aca="false">C97+D97</f>
        <v>33.589581509667</v>
      </c>
      <c r="F97" s="5" t="n">
        <f aca="false">0.5*Combined_Scenarios!Y97</f>
        <v>1</v>
      </c>
      <c r="G97" s="5" t="n">
        <f aca="false">Combined_Scenarios!K97*F97</f>
        <v>104.166666666667</v>
      </c>
      <c r="H97" s="5" t="n">
        <f aca="false">Combined_Scenarios!H97+IF(E97=0,0,G97/E97)</f>
        <v>6.10116000214792</v>
      </c>
      <c r="I97" s="5" t="n">
        <f aca="false">H97-Combined_Scenarios!H97</f>
        <v>3.10116000214792</v>
      </c>
      <c r="J97" s="5" t="n">
        <f aca="false">E97*I97</f>
        <v>104.166666666667</v>
      </c>
      <c r="K97" s="5" t="n">
        <f aca="false">0.31*Combined_Scenarios!H97+17.8</f>
        <v>18.73</v>
      </c>
      <c r="L97" s="5" t="n">
        <f aca="false">H97-K97</f>
        <v>-12.6288399978521</v>
      </c>
      <c r="M97" s="5" t="str">
        <f aca="false">IF(AND(H97&gt;=12,H97&lt;=35),"Within safe range","Outside safe range")</f>
        <v>Outside safe range</v>
      </c>
      <c r="N97" s="5" t="n">
        <f aca="false">MAX(0,100-ABS(L97)*8)</f>
        <v>0</v>
      </c>
      <c r="O97" s="5" t="n">
        <f aca="false">MAX(-3,MIN(3,L97/3))</f>
        <v>-3</v>
      </c>
      <c r="P97" s="5" t="n">
        <f aca="false">100-95*EXP(-(0.03353*O97^4+0.2179*O97^2))</f>
        <v>99.1158717152693</v>
      </c>
      <c r="Q97" s="5" t="n">
        <f aca="false">IF(H97&lt;18,E97*(18-H97),0)</f>
        <v>399.677055978339</v>
      </c>
      <c r="R97" s="5" t="n">
        <f aca="false">IF(H97&gt;26,E97*(H97-26),0)</f>
        <v>0</v>
      </c>
      <c r="S97" s="5" t="n">
        <f aca="false">Q97+R97</f>
        <v>399.677055978339</v>
      </c>
      <c r="T97" s="5" t="n">
        <f aca="false">MAX(0,100-S97/5)</f>
        <v>20.0645888043323</v>
      </c>
      <c r="U97" s="5" t="n">
        <f aca="false">(N97+T97)/2</f>
        <v>10.0322944021661</v>
      </c>
      <c r="V97" s="5" t="str">
        <f aca="false">IF(U97&gt;=60,"Recommended","Not Recommended")</f>
        <v>Not Recommended</v>
      </c>
      <c r="W97" s="5" t="str">
        <f aca="false">IF(Q97&gt;0,"Increase insulation thickness or reduce opening area to cut heat loss",IF(R97&gt;0,"Increase shading/ventilation or reduce solar-facing openings to cut heat gain","Design meets estimated comfort band without major changes"))</f>
        <v>Increase insulation thickness or reduce opening area to cut heat loss</v>
      </c>
      <c r="X97" s="5" t="s">
        <v>555</v>
      </c>
    </row>
    <row r="98" customFormat="false" ht="15" hidden="false" customHeight="false" outlineLevel="0" collapsed="false">
      <c r="A98" s="5" t="str">
        <f aca="false">Combined_Scenarios!A98</f>
        <v>S097</v>
      </c>
      <c r="B98" s="5" t="n">
        <f aca="false">0.5+Combined_Scenarios!AA98*10</f>
        <v>0.889863547758285</v>
      </c>
      <c r="C98" s="5" t="n">
        <f aca="false">0.33*B98*Combined_Scenarios!Z98</f>
        <v>17.8395394736842</v>
      </c>
      <c r="D98" s="5" t="n">
        <f aca="false">Combined_Scenarios!W98*Combined_Scenarios!X98</f>
        <v>15.7500420359828</v>
      </c>
      <c r="E98" s="5" t="n">
        <f aca="false">C98+D98</f>
        <v>33.589581509667</v>
      </c>
      <c r="F98" s="5" t="n">
        <f aca="false">0.5*Combined_Scenarios!Y98</f>
        <v>1</v>
      </c>
      <c r="G98" s="5" t="n">
        <f aca="false">Combined_Scenarios!K98*F98</f>
        <v>208.333333333333</v>
      </c>
      <c r="H98" s="5" t="n">
        <f aca="false">Combined_Scenarios!H98+IF(E98=0,0,G98/E98)</f>
        <v>21.2023200042958</v>
      </c>
      <c r="I98" s="5" t="n">
        <f aca="false">H98-Combined_Scenarios!H98</f>
        <v>6.20232000429584</v>
      </c>
      <c r="J98" s="5" t="n">
        <f aca="false">E98*I98</f>
        <v>208.333333333333</v>
      </c>
      <c r="K98" s="5" t="n">
        <f aca="false">0.31*Combined_Scenarios!H98+17.8</f>
        <v>22.45</v>
      </c>
      <c r="L98" s="5" t="n">
        <f aca="false">H98-K98</f>
        <v>-1.24767999570416</v>
      </c>
      <c r="M98" s="5" t="str">
        <f aca="false">IF(AND(H98&gt;=12,H98&lt;=35),"Within safe range","Outside safe range")</f>
        <v>Within safe range</v>
      </c>
      <c r="N98" s="5" t="n">
        <f aca="false">MAX(0,100-ABS(L98)*8)</f>
        <v>90.0185600343667</v>
      </c>
      <c r="O98" s="5" t="n">
        <f aca="false">MAX(-3,MIN(3,L98/3))</f>
        <v>-0.415893331901388</v>
      </c>
      <c r="P98" s="5" t="n">
        <f aca="false">100-95*EXP(-(0.03353*O98^4+0.2179*O98^2))</f>
        <v>8.60560202662785</v>
      </c>
      <c r="Q98" s="5" t="n">
        <f aca="false">IF(H98&lt;18,E98*(18-H98),0)</f>
        <v>0</v>
      </c>
      <c r="R98" s="5" t="n">
        <f aca="false">IF(H98&gt;26,E98*(H98-26),0)</f>
        <v>0</v>
      </c>
      <c r="S98" s="5" t="n">
        <f aca="false">Q98+R98</f>
        <v>0</v>
      </c>
      <c r="T98" s="5" t="n">
        <f aca="false">MAX(0,100-S98/5)</f>
        <v>100</v>
      </c>
      <c r="U98" s="5" t="n">
        <f aca="false">(N98+T98)/2</f>
        <v>95.0092800171833</v>
      </c>
      <c r="V98" s="5" t="str">
        <f aca="false">IF(U98&gt;=60,"Recommended","Not Recommended")</f>
        <v>Recommended</v>
      </c>
      <c r="W98" s="5" t="str">
        <f aca="false">IF(Q98&gt;0,"Increase insulation thickness or reduce opening area to cut heat loss",IF(R98&gt;0,"Increase shading/ventilation or reduce solar-facing openings to cut heat gain","Design meets estimated comfort band without major changes"))</f>
        <v>Design meets estimated comfort band without major changes</v>
      </c>
      <c r="X98" s="5" t="s">
        <v>555</v>
      </c>
    </row>
    <row r="99" customFormat="false" ht="15" hidden="false" customHeight="false" outlineLevel="0" collapsed="false">
      <c r="A99" s="5" t="str">
        <f aca="false">Combined_Scenarios!A99</f>
        <v>S098</v>
      </c>
      <c r="B99" s="5" t="n">
        <f aca="false">0.5+Combined_Scenarios!AA99*10</f>
        <v>0.889863547758285</v>
      </c>
      <c r="C99" s="5" t="n">
        <f aca="false">0.33*B99*Combined_Scenarios!Z99</f>
        <v>17.8395394736842</v>
      </c>
      <c r="D99" s="5" t="n">
        <f aca="false">Combined_Scenarios!W99*Combined_Scenarios!X99</f>
        <v>15.7500420359828</v>
      </c>
      <c r="E99" s="5" t="n">
        <f aca="false">C99+D99</f>
        <v>33.589581509667</v>
      </c>
      <c r="F99" s="5" t="n">
        <f aca="false">0.5*Combined_Scenarios!Y99</f>
        <v>1</v>
      </c>
      <c r="G99" s="5" t="n">
        <f aca="false">Combined_Scenarios!K99*F99</f>
        <v>208.333333333333</v>
      </c>
      <c r="H99" s="5" t="n">
        <f aca="false">Combined_Scenarios!H99+IF(E99=0,0,G99/E99)</f>
        <v>32.2023200042958</v>
      </c>
      <c r="I99" s="5" t="n">
        <f aca="false">H99-Combined_Scenarios!H99</f>
        <v>6.20232000429584</v>
      </c>
      <c r="J99" s="5" t="n">
        <f aca="false">E99*I99</f>
        <v>208.333333333333</v>
      </c>
      <c r="K99" s="5" t="n">
        <f aca="false">0.31*Combined_Scenarios!H99+17.8</f>
        <v>25.86</v>
      </c>
      <c r="L99" s="5" t="n">
        <f aca="false">H99-K99</f>
        <v>6.34232000429584</v>
      </c>
      <c r="M99" s="5" t="str">
        <f aca="false">IF(AND(H99&gt;=12,H99&lt;=35),"Within safe range","Outside safe range")</f>
        <v>Within safe range</v>
      </c>
      <c r="N99" s="5" t="n">
        <f aca="false">MAX(0,100-ABS(L99)*8)</f>
        <v>49.2614399656333</v>
      </c>
      <c r="O99" s="5" t="n">
        <f aca="false">MAX(-3,MIN(3,L99/3))</f>
        <v>2.11410666809861</v>
      </c>
      <c r="P99" s="5" t="n">
        <f aca="false">100-95*EXP(-(0.03353*O99^4+0.2179*O99^2))</f>
        <v>81.6397028957588</v>
      </c>
      <c r="Q99" s="5" t="n">
        <f aca="false">IF(H99&lt;18,E99*(18-H99),0)</f>
        <v>0</v>
      </c>
      <c r="R99" s="5" t="n">
        <f aca="false">IF(H99&gt;26,E99*(H99-26),0)</f>
        <v>208.333333333333</v>
      </c>
      <c r="S99" s="5" t="n">
        <f aca="false">Q99+R99</f>
        <v>208.333333333333</v>
      </c>
      <c r="T99" s="5" t="n">
        <f aca="false">MAX(0,100-S99/5)</f>
        <v>58.3333333333334</v>
      </c>
      <c r="U99" s="5" t="n">
        <f aca="false">(N99+T99)/2</f>
        <v>53.7973866494833</v>
      </c>
      <c r="V99" s="5" t="str">
        <f aca="false">IF(U99&gt;=60,"Recommended","Not Recommended")</f>
        <v>Not Recommended</v>
      </c>
      <c r="W99" s="5" t="str">
        <f aca="false">IF(Q99&gt;0,"Increase insulation thickness or reduce opening area to cut heat loss",IF(R99&gt;0,"Increase shading/ventilation or reduce solar-facing openings to cut heat gain","Design meets estimated comfort band without major changes"))</f>
        <v>Increase shading/ventilation or reduce solar-facing openings to cut heat gain</v>
      </c>
      <c r="X99" s="5" t="s">
        <v>555</v>
      </c>
    </row>
    <row r="100" customFormat="false" ht="15" hidden="false" customHeight="false" outlineLevel="0" collapsed="false">
      <c r="A100" s="5" t="str">
        <f aca="false">Combined_Scenarios!A100</f>
        <v>S099</v>
      </c>
      <c r="B100" s="5" t="n">
        <f aca="false">0.5+Combined_Scenarios!AA100*10</f>
        <v>0.889863547758285</v>
      </c>
      <c r="C100" s="5" t="n">
        <f aca="false">0.33*B100*Combined_Scenarios!Z100</f>
        <v>17.8395394736842</v>
      </c>
      <c r="D100" s="5" t="n">
        <f aca="false">Combined_Scenarios!W100*Combined_Scenarios!X100</f>
        <v>15.7500420359828</v>
      </c>
      <c r="E100" s="5" t="n">
        <f aca="false">C100+D100</f>
        <v>33.589581509667</v>
      </c>
      <c r="F100" s="5" t="n">
        <f aca="false">0.5*Combined_Scenarios!Y100</f>
        <v>1</v>
      </c>
      <c r="G100" s="5" t="n">
        <f aca="false">Combined_Scenarios!K100*F100</f>
        <v>187.5</v>
      </c>
      <c r="H100" s="5" t="n">
        <f aca="false">Combined_Scenarios!H100+IF(E100=0,0,G100/E100)</f>
        <v>27.5820880038663</v>
      </c>
      <c r="I100" s="5" t="n">
        <f aca="false">H100-Combined_Scenarios!H100</f>
        <v>5.58208800386625</v>
      </c>
      <c r="J100" s="5" t="n">
        <f aca="false">E100*I100</f>
        <v>187.5</v>
      </c>
      <c r="K100" s="5" t="n">
        <f aca="false">0.31*Combined_Scenarios!H100+17.8</f>
        <v>24.62</v>
      </c>
      <c r="L100" s="5" t="n">
        <f aca="false">H100-K100</f>
        <v>2.96208800386625</v>
      </c>
      <c r="M100" s="5" t="str">
        <f aca="false">IF(AND(H100&gt;=12,H100&lt;=35),"Within safe range","Outside safe range")</f>
        <v>Within safe range</v>
      </c>
      <c r="N100" s="5" t="n">
        <f aca="false">MAX(0,100-ABS(L100)*8)</f>
        <v>76.30329596907</v>
      </c>
      <c r="O100" s="5" t="n">
        <f aca="false">MAX(-3,MIN(3,L100/3))</f>
        <v>0.987362667955418</v>
      </c>
      <c r="P100" s="5" t="n">
        <f aca="false">100-95*EXP(-(0.03353*O100^4+0.2179*O100^2))</f>
        <v>25.5905833486333</v>
      </c>
      <c r="Q100" s="5" t="n">
        <f aca="false">IF(H100&lt;18,E100*(18-H100),0)</f>
        <v>0</v>
      </c>
      <c r="R100" s="5" t="n">
        <f aca="false">IF(H100&gt;26,E100*(H100-26),0)</f>
        <v>53.1416739613319</v>
      </c>
      <c r="S100" s="5" t="n">
        <f aca="false">Q100+R100</f>
        <v>53.1416739613319</v>
      </c>
      <c r="T100" s="5" t="n">
        <f aca="false">MAX(0,100-S100/5)</f>
        <v>89.3716652077336</v>
      </c>
      <c r="U100" s="5" t="n">
        <f aca="false">(N100+T100)/2</f>
        <v>82.8374805884018</v>
      </c>
      <c r="V100" s="5" t="str">
        <f aca="false">IF(U100&gt;=60,"Recommended","Not Recommended")</f>
        <v>Recommended</v>
      </c>
      <c r="W100" s="5" t="str">
        <f aca="false">IF(Q100&gt;0,"Increase insulation thickness or reduce opening area to cut heat loss",IF(R100&gt;0,"Increase shading/ventilation or reduce solar-facing openings to cut heat gain","Design meets estimated comfort band without major changes"))</f>
        <v>Increase shading/ventilation or reduce solar-facing openings to cut heat gain</v>
      </c>
      <c r="X100" s="5" t="s">
        <v>555</v>
      </c>
    </row>
    <row r="101" customFormat="false" ht="15" hidden="false" customHeight="false" outlineLevel="0" collapsed="false">
      <c r="A101" s="5" t="str">
        <f aca="false">Combined_Scenarios!A101</f>
        <v>S100</v>
      </c>
      <c r="B101" s="5" t="n">
        <f aca="false">0.5+Combined_Scenarios!AA101*10</f>
        <v>0.889863547758285</v>
      </c>
      <c r="C101" s="5" t="n">
        <f aca="false">0.33*B101*Combined_Scenarios!Z101</f>
        <v>17.8395394736842</v>
      </c>
      <c r="D101" s="5" t="n">
        <f aca="false">Combined_Scenarios!W101*Combined_Scenarios!X101</f>
        <v>15.7500420359828</v>
      </c>
      <c r="E101" s="5" t="n">
        <f aca="false">C101+D101</f>
        <v>33.589581509667</v>
      </c>
      <c r="F101" s="5" t="n">
        <f aca="false">0.5*Combined_Scenarios!Y101</f>
        <v>1</v>
      </c>
      <c r="G101" s="5" t="n">
        <f aca="false">Combined_Scenarios!K101*F101</f>
        <v>125</v>
      </c>
      <c r="H101" s="5" t="n">
        <f aca="false">Combined_Scenarios!H101+IF(E101=0,0,G101/E101)</f>
        <v>13.7213920025775</v>
      </c>
      <c r="I101" s="5" t="n">
        <f aca="false">H101-Combined_Scenarios!H101</f>
        <v>3.7213920025775</v>
      </c>
      <c r="J101" s="5" t="n">
        <f aca="false">E101*I101</f>
        <v>125</v>
      </c>
      <c r="K101" s="5" t="n">
        <f aca="false">0.31*Combined_Scenarios!H101+17.8</f>
        <v>20.9</v>
      </c>
      <c r="L101" s="5" t="n">
        <f aca="false">H101-K101</f>
        <v>-7.1786079974225</v>
      </c>
      <c r="M101" s="5" t="str">
        <f aca="false">IF(AND(H101&gt;=12,H101&lt;=35),"Within safe range","Outside safe range")</f>
        <v>Within safe range</v>
      </c>
      <c r="N101" s="5" t="n">
        <f aca="false">MAX(0,100-ABS(L101)*8)</f>
        <v>42.57113602062</v>
      </c>
      <c r="O101" s="5" t="n">
        <f aca="false">MAX(-3,MIN(3,L101/3))</f>
        <v>-2.39286933247417</v>
      </c>
      <c r="P101" s="5" t="n">
        <f aca="false">100-95*EXP(-(0.03353*O101^4+0.2179*O101^2))</f>
        <v>90.9121625151185</v>
      </c>
      <c r="Q101" s="5" t="n">
        <f aca="false">IF(H101&lt;18,E101*(18-H101),0)</f>
        <v>143.716652077336</v>
      </c>
      <c r="R101" s="5" t="n">
        <f aca="false">IF(H101&gt;26,E101*(H101-26),0)</f>
        <v>0</v>
      </c>
      <c r="S101" s="5" t="n">
        <f aca="false">Q101+R101</f>
        <v>143.716652077336</v>
      </c>
      <c r="T101" s="5" t="n">
        <f aca="false">MAX(0,100-S101/5)</f>
        <v>71.2566695845328</v>
      </c>
      <c r="U101" s="5" t="n">
        <f aca="false">(N101+T101)/2</f>
        <v>56.9139028025764</v>
      </c>
      <c r="V101" s="5" t="str">
        <f aca="false">IF(U101&gt;=60,"Recommended","Not Recommended")</f>
        <v>Not Recommended</v>
      </c>
      <c r="W101" s="5" t="str">
        <f aca="false">IF(Q101&gt;0,"Increase insulation thickness or reduce opening area to cut heat loss",IF(R101&gt;0,"Increase shading/ventilation or reduce solar-facing openings to cut heat gain","Design meets estimated comfort band without major changes"))</f>
        <v>Increase insulation thickness or reduce opening area to cut heat loss</v>
      </c>
      <c r="X101" s="5" t="s">
        <v>555</v>
      </c>
    </row>
    <row r="102" customFormat="false" ht="15" hidden="false" customHeight="false" outlineLevel="0" collapsed="false">
      <c r="A102" s="5" t="str">
        <f aca="false">Combined_Scenarios!A102</f>
        <v>S101</v>
      </c>
      <c r="B102" s="5" t="n">
        <f aca="false">0.5+Combined_Scenarios!AA102*10</f>
        <v>0.884615384615385</v>
      </c>
      <c r="C102" s="5" t="n">
        <f aca="false">0.33*B102*Combined_Scenarios!Z102</f>
        <v>9.29775</v>
      </c>
      <c r="D102" s="5" t="n">
        <f aca="false">Combined_Scenarios!W102*Combined_Scenarios!X102</f>
        <v>13.6867484049278</v>
      </c>
      <c r="E102" s="5" t="n">
        <f aca="false">C102+D102</f>
        <v>22.9844984049278</v>
      </c>
      <c r="F102" s="5" t="n">
        <f aca="false">0.5*Combined_Scenarios!Y102</f>
        <v>0.7</v>
      </c>
      <c r="G102" s="5" t="n">
        <f aca="false">Combined_Scenarios!K102*F102</f>
        <v>72.9166666666667</v>
      </c>
      <c r="H102" s="5" t="n">
        <f aca="false">Combined_Scenarios!H102+IF(E102=0,0,G102/E102)</f>
        <v>6.17242801570268</v>
      </c>
      <c r="I102" s="5" t="n">
        <f aca="false">H102-Combined_Scenarios!H102</f>
        <v>3.17242801570268</v>
      </c>
      <c r="J102" s="5" t="n">
        <f aca="false">E102*I102</f>
        <v>72.9166666666667</v>
      </c>
      <c r="K102" s="5" t="n">
        <f aca="false">0.31*Combined_Scenarios!H102+17.8</f>
        <v>18.73</v>
      </c>
      <c r="L102" s="5" t="n">
        <f aca="false">H102-K102</f>
        <v>-12.5575719842973</v>
      </c>
      <c r="M102" s="5" t="str">
        <f aca="false">IF(AND(H102&gt;=12,H102&lt;=35),"Within safe range","Outside safe range")</f>
        <v>Outside safe range</v>
      </c>
      <c r="N102" s="5" t="n">
        <f aca="false">MAX(0,100-ABS(L102)*8)</f>
        <v>0</v>
      </c>
      <c r="O102" s="5" t="n">
        <f aca="false">MAX(-3,MIN(3,L102/3))</f>
        <v>-3</v>
      </c>
      <c r="P102" s="5" t="n">
        <f aca="false">100-95*EXP(-(0.03353*O102^4+0.2179*O102^2))</f>
        <v>99.1158717152693</v>
      </c>
      <c r="Q102" s="5" t="n">
        <f aca="false">IF(H102&lt;18,E102*(18-H102),0)</f>
        <v>271.850809407251</v>
      </c>
      <c r="R102" s="5" t="n">
        <f aca="false">IF(H102&gt;26,E102*(H102-26),0)</f>
        <v>0</v>
      </c>
      <c r="S102" s="5" t="n">
        <f aca="false">Q102+R102</f>
        <v>271.850809407251</v>
      </c>
      <c r="T102" s="5" t="n">
        <f aca="false">MAX(0,100-S102/5)</f>
        <v>45.6298381185499</v>
      </c>
      <c r="U102" s="5" t="n">
        <f aca="false">(N102+T102)/2</f>
        <v>22.8149190592749</v>
      </c>
      <c r="V102" s="5" t="str">
        <f aca="false">IF(U102&gt;=60,"Recommended","Not Recommended")</f>
        <v>Not Recommended</v>
      </c>
      <c r="W102" s="5" t="str">
        <f aca="false">IF(Q102&gt;0,"Increase insulation thickness or reduce opening area to cut heat loss",IF(R102&gt;0,"Increase shading/ventilation or reduce solar-facing openings to cut heat gain","Design meets estimated comfort band without major changes"))</f>
        <v>Increase insulation thickness or reduce opening area to cut heat loss</v>
      </c>
      <c r="X102" s="5" t="s">
        <v>555</v>
      </c>
    </row>
    <row r="103" customFormat="false" ht="15" hidden="false" customHeight="false" outlineLevel="0" collapsed="false">
      <c r="A103" s="5" t="str">
        <f aca="false">Combined_Scenarios!A103</f>
        <v>S102</v>
      </c>
      <c r="B103" s="5" t="n">
        <f aca="false">0.5+Combined_Scenarios!AA103*10</f>
        <v>0.884615384615385</v>
      </c>
      <c r="C103" s="5" t="n">
        <f aca="false">0.33*B103*Combined_Scenarios!Z103</f>
        <v>9.29775</v>
      </c>
      <c r="D103" s="5" t="n">
        <f aca="false">Combined_Scenarios!W103*Combined_Scenarios!X103</f>
        <v>13.6867484049278</v>
      </c>
      <c r="E103" s="5" t="n">
        <f aca="false">C103+D103</f>
        <v>22.9844984049278</v>
      </c>
      <c r="F103" s="5" t="n">
        <f aca="false">0.5*Combined_Scenarios!Y103</f>
        <v>0.7</v>
      </c>
      <c r="G103" s="5" t="n">
        <f aca="false">Combined_Scenarios!K103*F103</f>
        <v>145.833333333333</v>
      </c>
      <c r="H103" s="5" t="n">
        <f aca="false">Combined_Scenarios!H103+IF(E103=0,0,G103/E103)</f>
        <v>21.3448560314054</v>
      </c>
      <c r="I103" s="5" t="n">
        <f aca="false">H103-Combined_Scenarios!H103</f>
        <v>6.34485603140537</v>
      </c>
      <c r="J103" s="5" t="n">
        <f aca="false">E103*I103</f>
        <v>145.833333333333</v>
      </c>
      <c r="K103" s="5" t="n">
        <f aca="false">0.31*Combined_Scenarios!H103+17.8</f>
        <v>22.45</v>
      </c>
      <c r="L103" s="5" t="n">
        <f aca="false">H103-K103</f>
        <v>-1.10514396859464</v>
      </c>
      <c r="M103" s="5" t="str">
        <f aca="false">IF(AND(H103&gt;=12,H103&lt;=35),"Within safe range","Outside safe range")</f>
        <v>Within safe range</v>
      </c>
      <c r="N103" s="5" t="n">
        <f aca="false">MAX(0,100-ABS(L103)*8)</f>
        <v>91.1588482512429</v>
      </c>
      <c r="O103" s="5" t="n">
        <f aca="false">MAX(-3,MIN(3,L103/3))</f>
        <v>-0.368381322864879</v>
      </c>
      <c r="P103" s="5" t="n">
        <f aca="false">100-95*EXP(-(0.03353*O103^4+0.2179*O103^2))</f>
        <v>7.82496402883197</v>
      </c>
      <c r="Q103" s="5" t="n">
        <f aca="false">IF(H103&lt;18,E103*(18-H103),0)</f>
        <v>0</v>
      </c>
      <c r="R103" s="5" t="n">
        <f aca="false">IF(H103&gt;26,E103*(H103-26),0)</f>
        <v>0</v>
      </c>
      <c r="S103" s="5" t="n">
        <f aca="false">Q103+R103</f>
        <v>0</v>
      </c>
      <c r="T103" s="5" t="n">
        <f aca="false">MAX(0,100-S103/5)</f>
        <v>100</v>
      </c>
      <c r="U103" s="5" t="n">
        <f aca="false">(N103+T103)/2</f>
        <v>95.5794241256215</v>
      </c>
      <c r="V103" s="5" t="str">
        <f aca="false">IF(U103&gt;=60,"Recommended","Not Recommended")</f>
        <v>Recommended</v>
      </c>
      <c r="W103" s="5" t="str">
        <f aca="false">IF(Q103&gt;0,"Increase insulation thickness or reduce opening area to cut heat loss",IF(R103&gt;0,"Increase shading/ventilation or reduce solar-facing openings to cut heat gain","Design meets estimated comfort band without major changes"))</f>
        <v>Design meets estimated comfort band without major changes</v>
      </c>
      <c r="X103" s="5" t="s">
        <v>555</v>
      </c>
    </row>
    <row r="104" customFormat="false" ht="15" hidden="false" customHeight="false" outlineLevel="0" collapsed="false">
      <c r="A104" s="5" t="str">
        <f aca="false">Combined_Scenarios!A104</f>
        <v>S103</v>
      </c>
      <c r="B104" s="5" t="n">
        <f aca="false">0.5+Combined_Scenarios!AA104*10</f>
        <v>0.884615384615385</v>
      </c>
      <c r="C104" s="5" t="n">
        <f aca="false">0.33*B104*Combined_Scenarios!Z104</f>
        <v>9.29775</v>
      </c>
      <c r="D104" s="5" t="n">
        <f aca="false">Combined_Scenarios!W104*Combined_Scenarios!X104</f>
        <v>13.6867484049278</v>
      </c>
      <c r="E104" s="5" t="n">
        <f aca="false">C104+D104</f>
        <v>22.9844984049278</v>
      </c>
      <c r="F104" s="5" t="n">
        <f aca="false">0.5*Combined_Scenarios!Y104</f>
        <v>0.7</v>
      </c>
      <c r="G104" s="5" t="n">
        <f aca="false">Combined_Scenarios!K104*F104</f>
        <v>145.833333333333</v>
      </c>
      <c r="H104" s="5" t="n">
        <f aca="false">Combined_Scenarios!H104+IF(E104=0,0,G104/E104)</f>
        <v>32.3448560314054</v>
      </c>
      <c r="I104" s="5" t="n">
        <f aca="false">H104-Combined_Scenarios!H104</f>
        <v>6.34485603140537</v>
      </c>
      <c r="J104" s="5" t="n">
        <f aca="false">E104*I104</f>
        <v>145.833333333333</v>
      </c>
      <c r="K104" s="5" t="n">
        <f aca="false">0.31*Combined_Scenarios!H104+17.8</f>
        <v>25.86</v>
      </c>
      <c r="L104" s="5" t="n">
        <f aca="false">H104-K104</f>
        <v>6.48485603140537</v>
      </c>
      <c r="M104" s="5" t="str">
        <f aca="false">IF(AND(H104&gt;=12,H104&lt;=35),"Within safe range","Outside safe range")</f>
        <v>Within safe range</v>
      </c>
      <c r="N104" s="5" t="n">
        <f aca="false">MAX(0,100-ABS(L104)*8)</f>
        <v>48.121151748757</v>
      </c>
      <c r="O104" s="5" t="n">
        <f aca="false">MAX(-3,MIN(3,L104/3))</f>
        <v>2.16161867713512</v>
      </c>
      <c r="P104" s="5" t="n">
        <f aca="false">100-95*EXP(-(0.03353*O104^4+0.2179*O104^2))</f>
        <v>83.4951717480777</v>
      </c>
      <c r="Q104" s="5" t="n">
        <f aca="false">IF(H104&lt;18,E104*(18-H104),0)</f>
        <v>0</v>
      </c>
      <c r="R104" s="5" t="n">
        <f aca="false">IF(H104&gt;26,E104*(H104-26),0)</f>
        <v>145.833333333333</v>
      </c>
      <c r="S104" s="5" t="n">
        <f aca="false">Q104+R104</f>
        <v>145.833333333333</v>
      </c>
      <c r="T104" s="5" t="n">
        <f aca="false">MAX(0,100-S104/5)</f>
        <v>70.8333333333333</v>
      </c>
      <c r="U104" s="5" t="n">
        <f aca="false">(N104+T104)/2</f>
        <v>59.4772425410452</v>
      </c>
      <c r="V104" s="5" t="str">
        <f aca="false">IF(U104&gt;=60,"Recommended","Not Recommended")</f>
        <v>Not Recommended</v>
      </c>
      <c r="W104" s="5" t="str">
        <f aca="false">IF(Q104&gt;0,"Increase insulation thickness or reduce opening area to cut heat loss",IF(R104&gt;0,"Increase shading/ventilation or reduce solar-facing openings to cut heat gain","Design meets estimated comfort band without major changes"))</f>
        <v>Increase shading/ventilation or reduce solar-facing openings to cut heat gain</v>
      </c>
      <c r="X104" s="5" t="s">
        <v>555</v>
      </c>
    </row>
    <row r="105" customFormat="false" ht="15" hidden="false" customHeight="false" outlineLevel="0" collapsed="false">
      <c r="A105" s="5" t="str">
        <f aca="false">Combined_Scenarios!A105</f>
        <v>S104</v>
      </c>
      <c r="B105" s="5" t="n">
        <f aca="false">0.5+Combined_Scenarios!AA105*10</f>
        <v>0.884615384615385</v>
      </c>
      <c r="C105" s="5" t="n">
        <f aca="false">0.33*B105*Combined_Scenarios!Z105</f>
        <v>9.29775</v>
      </c>
      <c r="D105" s="5" t="n">
        <f aca="false">Combined_Scenarios!W105*Combined_Scenarios!X105</f>
        <v>13.6867484049278</v>
      </c>
      <c r="E105" s="5" t="n">
        <f aca="false">C105+D105</f>
        <v>22.9844984049278</v>
      </c>
      <c r="F105" s="5" t="n">
        <f aca="false">0.5*Combined_Scenarios!Y105</f>
        <v>0.7</v>
      </c>
      <c r="G105" s="5" t="n">
        <f aca="false">Combined_Scenarios!K105*F105</f>
        <v>131.25</v>
      </c>
      <c r="H105" s="5" t="n">
        <f aca="false">Combined_Scenarios!H105+IF(E105=0,0,G105/E105)</f>
        <v>27.7103704282648</v>
      </c>
      <c r="I105" s="5" t="n">
        <f aca="false">H105-Combined_Scenarios!H105</f>
        <v>5.71037042826483</v>
      </c>
      <c r="J105" s="5" t="n">
        <f aca="false">E105*I105</f>
        <v>131.25</v>
      </c>
      <c r="K105" s="5" t="n">
        <f aca="false">0.31*Combined_Scenarios!H105+17.8</f>
        <v>24.62</v>
      </c>
      <c r="L105" s="5" t="n">
        <f aca="false">H105-K105</f>
        <v>3.09037042826483</v>
      </c>
      <c r="M105" s="5" t="str">
        <f aca="false">IF(AND(H105&gt;=12,H105&lt;=35),"Within safe range","Outside safe range")</f>
        <v>Within safe range</v>
      </c>
      <c r="N105" s="5" t="n">
        <f aca="false">MAX(0,100-ABS(L105)*8)</f>
        <v>75.2770365738814</v>
      </c>
      <c r="O105" s="5" t="n">
        <f aca="false">MAX(-3,MIN(3,L105/3))</f>
        <v>1.03012347608828</v>
      </c>
      <c r="P105" s="5" t="n">
        <f aca="false">100-95*EXP(-(0.03353*O105^4+0.2179*O105^2))</f>
        <v>27.4050802715481</v>
      </c>
      <c r="Q105" s="5" t="n">
        <f aca="false">IF(H105&lt;18,E105*(18-H105),0)</f>
        <v>0</v>
      </c>
      <c r="R105" s="5" t="n">
        <f aca="false">IF(H105&gt;26,E105*(H105-26),0)</f>
        <v>39.3120063802887</v>
      </c>
      <c r="S105" s="5" t="n">
        <f aca="false">Q105+R105</f>
        <v>39.3120063802887</v>
      </c>
      <c r="T105" s="5" t="n">
        <f aca="false">MAX(0,100-S105/5)</f>
        <v>92.1375987239423</v>
      </c>
      <c r="U105" s="5" t="n">
        <f aca="false">(N105+T105)/2</f>
        <v>83.7073176489118</v>
      </c>
      <c r="V105" s="5" t="str">
        <f aca="false">IF(U105&gt;=60,"Recommended","Not Recommended")</f>
        <v>Recommended</v>
      </c>
      <c r="W105" s="5" t="str">
        <f aca="false">IF(Q105&gt;0,"Increase insulation thickness or reduce opening area to cut heat loss",IF(R105&gt;0,"Increase shading/ventilation or reduce solar-facing openings to cut heat gain","Design meets estimated comfort band without major changes"))</f>
        <v>Increase shading/ventilation or reduce solar-facing openings to cut heat gain</v>
      </c>
      <c r="X105" s="5" t="s">
        <v>555</v>
      </c>
    </row>
    <row r="106" customFormat="false" ht="15" hidden="false" customHeight="false" outlineLevel="0" collapsed="false">
      <c r="A106" s="5" t="str">
        <f aca="false">Combined_Scenarios!A106</f>
        <v>S105</v>
      </c>
      <c r="B106" s="5" t="n">
        <f aca="false">0.5+Combined_Scenarios!AA106*10</f>
        <v>0.884615384615385</v>
      </c>
      <c r="C106" s="5" t="n">
        <f aca="false">0.33*B106*Combined_Scenarios!Z106</f>
        <v>9.29775</v>
      </c>
      <c r="D106" s="5" t="n">
        <f aca="false">Combined_Scenarios!W106*Combined_Scenarios!X106</f>
        <v>13.6867484049278</v>
      </c>
      <c r="E106" s="5" t="n">
        <f aca="false">C106+D106</f>
        <v>22.9844984049278</v>
      </c>
      <c r="F106" s="5" t="n">
        <f aca="false">0.5*Combined_Scenarios!Y106</f>
        <v>0.7</v>
      </c>
      <c r="G106" s="5" t="n">
        <f aca="false">Combined_Scenarios!K106*F106</f>
        <v>87.5</v>
      </c>
      <c r="H106" s="5" t="n">
        <f aca="false">Combined_Scenarios!H106+IF(E106=0,0,G106/E106)</f>
        <v>13.8069136188432</v>
      </c>
      <c r="I106" s="5" t="n">
        <f aca="false">H106-Combined_Scenarios!H106</f>
        <v>3.80691361884322</v>
      </c>
      <c r="J106" s="5" t="n">
        <f aca="false">E106*I106</f>
        <v>87.5</v>
      </c>
      <c r="K106" s="5" t="n">
        <f aca="false">0.31*Combined_Scenarios!H106+17.8</f>
        <v>20.9</v>
      </c>
      <c r="L106" s="5" t="n">
        <f aca="false">H106-K106</f>
        <v>-7.09308638115678</v>
      </c>
      <c r="M106" s="5" t="str">
        <f aca="false">IF(AND(H106&gt;=12,H106&lt;=35),"Within safe range","Outside safe range")</f>
        <v>Within safe range</v>
      </c>
      <c r="N106" s="5" t="n">
        <f aca="false">MAX(0,100-ABS(L106)*8)</f>
        <v>43.2553089507458</v>
      </c>
      <c r="O106" s="5" t="n">
        <f aca="false">MAX(-3,MIN(3,L106/3))</f>
        <v>-2.36436212705226</v>
      </c>
      <c r="P106" s="5" t="n">
        <f aca="false">100-95*EXP(-(0.03353*O106^4+0.2179*O106^2))</f>
        <v>90.1453478500086</v>
      </c>
      <c r="Q106" s="5" t="n">
        <f aca="false">IF(H106&lt;18,E106*(18-H106),0)</f>
        <v>96.3759872394225</v>
      </c>
      <c r="R106" s="5" t="n">
        <f aca="false">IF(H106&gt;26,E106*(H106-26),0)</f>
        <v>0</v>
      </c>
      <c r="S106" s="5" t="n">
        <f aca="false">Q106+R106</f>
        <v>96.3759872394225</v>
      </c>
      <c r="T106" s="5" t="n">
        <f aca="false">MAX(0,100-S106/5)</f>
        <v>80.7248025521155</v>
      </c>
      <c r="U106" s="5" t="n">
        <f aca="false">(N106+T106)/2</f>
        <v>61.9900557514306</v>
      </c>
      <c r="V106" s="5" t="str">
        <f aca="false">IF(U106&gt;=60,"Recommended","Not Recommended")</f>
        <v>Recommended</v>
      </c>
      <c r="W106" s="5" t="str">
        <f aca="false">IF(Q106&gt;0,"Increase insulation thickness or reduce opening area to cut heat loss",IF(R106&gt;0,"Increase shading/ventilation or reduce solar-facing openings to cut heat gain","Design meets estimated comfort band without major changes"))</f>
        <v>Increase insulation thickness or reduce opening area to cut heat loss</v>
      </c>
      <c r="X106" s="5" t="s">
        <v>555</v>
      </c>
    </row>
    <row r="107" customFormat="false" ht="15" hidden="false" customHeight="false" outlineLevel="0" collapsed="false">
      <c r="A107" s="5" t="str">
        <f aca="false">Combined_Scenarios!A107</f>
        <v>S106</v>
      </c>
      <c r="B107" s="5" t="n">
        <f aca="false">0.5+Combined_Scenarios!AA107*10</f>
        <v>0.889863547758285</v>
      </c>
      <c r="C107" s="5" t="n">
        <f aca="false">0.33*B107*Combined_Scenarios!Z107</f>
        <v>17.8395394736842</v>
      </c>
      <c r="D107" s="5" t="n">
        <f aca="false">Combined_Scenarios!W107*Combined_Scenarios!X107</f>
        <v>19.2787627532269</v>
      </c>
      <c r="E107" s="5" t="n">
        <f aca="false">C107+D107</f>
        <v>37.1183022269111</v>
      </c>
      <c r="F107" s="5" t="n">
        <f aca="false">0.5*Combined_Scenarios!Y107</f>
        <v>1</v>
      </c>
      <c r="G107" s="5" t="n">
        <f aca="false">Combined_Scenarios!K107*F107</f>
        <v>104.166666666667</v>
      </c>
      <c r="H107" s="5" t="n">
        <f aca="false">Combined_Scenarios!H107+IF(E107=0,0,G107/E107)</f>
        <v>5.80634243532682</v>
      </c>
      <c r="I107" s="5" t="n">
        <f aca="false">H107-Combined_Scenarios!H107</f>
        <v>2.80634243532682</v>
      </c>
      <c r="J107" s="5" t="n">
        <f aca="false">E107*I107</f>
        <v>104.166666666667</v>
      </c>
      <c r="K107" s="5" t="n">
        <f aca="false">0.31*Combined_Scenarios!H107+17.8</f>
        <v>18.73</v>
      </c>
      <c r="L107" s="5" t="n">
        <f aca="false">H107-K107</f>
        <v>-12.9236575646732</v>
      </c>
      <c r="M107" s="5" t="str">
        <f aca="false">IF(AND(H107&gt;=12,H107&lt;=35),"Within safe range","Outside safe range")</f>
        <v>Outside safe range</v>
      </c>
      <c r="N107" s="5" t="n">
        <f aca="false">MAX(0,100-ABS(L107)*8)</f>
        <v>0</v>
      </c>
      <c r="O107" s="5" t="n">
        <f aca="false">MAX(-3,MIN(3,L107/3))</f>
        <v>-3</v>
      </c>
      <c r="P107" s="5" t="n">
        <f aca="false">100-95*EXP(-(0.03353*O107^4+0.2179*O107^2))</f>
        <v>99.1158717152693</v>
      </c>
      <c r="Q107" s="5" t="n">
        <f aca="false">IF(H107&lt;18,E107*(18-H107),0)</f>
        <v>452.607866737</v>
      </c>
      <c r="R107" s="5" t="n">
        <f aca="false">IF(H107&gt;26,E107*(H107-26),0)</f>
        <v>0</v>
      </c>
      <c r="S107" s="5" t="n">
        <f aca="false">Q107+R107</f>
        <v>452.607866737</v>
      </c>
      <c r="T107" s="5" t="n">
        <f aca="false">MAX(0,100-S107/5)</f>
        <v>9.47842665260001</v>
      </c>
      <c r="U107" s="5" t="n">
        <f aca="false">(N107+T107)/2</f>
        <v>4.7392133263</v>
      </c>
      <c r="V107" s="5" t="str">
        <f aca="false">IF(U107&gt;=60,"Recommended","Not Recommended")</f>
        <v>Not Recommended</v>
      </c>
      <c r="W107" s="5" t="str">
        <f aca="false">IF(Q107&gt;0,"Increase insulation thickness or reduce opening area to cut heat loss",IF(R107&gt;0,"Increase shading/ventilation or reduce solar-facing openings to cut heat gain","Design meets estimated comfort band without major changes"))</f>
        <v>Increase insulation thickness or reduce opening area to cut heat loss</v>
      </c>
      <c r="X107" s="5" t="s">
        <v>555</v>
      </c>
    </row>
    <row r="108" customFormat="false" ht="15" hidden="false" customHeight="false" outlineLevel="0" collapsed="false">
      <c r="A108" s="5" t="str">
        <f aca="false">Combined_Scenarios!A108</f>
        <v>S107</v>
      </c>
      <c r="B108" s="5" t="n">
        <f aca="false">0.5+Combined_Scenarios!AA108*10</f>
        <v>0.889863547758285</v>
      </c>
      <c r="C108" s="5" t="n">
        <f aca="false">0.33*B108*Combined_Scenarios!Z108</f>
        <v>17.8395394736842</v>
      </c>
      <c r="D108" s="5" t="n">
        <f aca="false">Combined_Scenarios!W108*Combined_Scenarios!X108</f>
        <v>19.2787627532269</v>
      </c>
      <c r="E108" s="5" t="n">
        <f aca="false">C108+D108</f>
        <v>37.1183022269111</v>
      </c>
      <c r="F108" s="5" t="n">
        <f aca="false">0.5*Combined_Scenarios!Y108</f>
        <v>1</v>
      </c>
      <c r="G108" s="5" t="n">
        <f aca="false">Combined_Scenarios!K108*F108</f>
        <v>208.333333333333</v>
      </c>
      <c r="H108" s="5" t="n">
        <f aca="false">Combined_Scenarios!H108+IF(E108=0,0,G108/E108)</f>
        <v>20.6126848706536</v>
      </c>
      <c r="I108" s="5" t="n">
        <f aca="false">H108-Combined_Scenarios!H108</f>
        <v>5.61268487065364</v>
      </c>
      <c r="J108" s="5" t="n">
        <f aca="false">E108*I108</f>
        <v>208.333333333333</v>
      </c>
      <c r="K108" s="5" t="n">
        <f aca="false">0.31*Combined_Scenarios!H108+17.8</f>
        <v>22.45</v>
      </c>
      <c r="L108" s="5" t="n">
        <f aca="false">H108-K108</f>
        <v>-1.83731512934636</v>
      </c>
      <c r="M108" s="5" t="str">
        <f aca="false">IF(AND(H108&gt;=12,H108&lt;=35),"Within safe range","Outside safe range")</f>
        <v>Within safe range</v>
      </c>
      <c r="N108" s="5" t="n">
        <f aca="false">MAX(0,100-ABS(L108)*8)</f>
        <v>85.3014789652291</v>
      </c>
      <c r="O108" s="5" t="n">
        <f aca="false">MAX(-3,MIN(3,L108/3))</f>
        <v>-0.612438376448787</v>
      </c>
      <c r="P108" s="5" t="n">
        <f aca="false">100-95*EXP(-(0.03353*O108^4+0.2179*O108^2))</f>
        <v>12.8675299017951</v>
      </c>
      <c r="Q108" s="5" t="n">
        <f aca="false">IF(H108&lt;18,E108*(18-H108),0)</f>
        <v>0</v>
      </c>
      <c r="R108" s="5" t="n">
        <f aca="false">IF(H108&gt;26,E108*(H108-26),0)</f>
        <v>0</v>
      </c>
      <c r="S108" s="5" t="n">
        <f aca="false">Q108+R108</f>
        <v>0</v>
      </c>
      <c r="T108" s="5" t="n">
        <f aca="false">MAX(0,100-S108/5)</f>
        <v>100</v>
      </c>
      <c r="U108" s="5" t="n">
        <f aca="false">(N108+T108)/2</f>
        <v>92.6507394826146</v>
      </c>
      <c r="V108" s="5" t="str">
        <f aca="false">IF(U108&gt;=60,"Recommended","Not Recommended")</f>
        <v>Recommended</v>
      </c>
      <c r="W108" s="5" t="str">
        <f aca="false">IF(Q108&gt;0,"Increase insulation thickness or reduce opening area to cut heat loss",IF(R108&gt;0,"Increase shading/ventilation or reduce solar-facing openings to cut heat gain","Design meets estimated comfort band without major changes"))</f>
        <v>Design meets estimated comfort band without major changes</v>
      </c>
      <c r="X108" s="5" t="s">
        <v>555</v>
      </c>
    </row>
    <row r="109" customFormat="false" ht="15" hidden="false" customHeight="false" outlineLevel="0" collapsed="false">
      <c r="A109" s="5" t="str">
        <f aca="false">Combined_Scenarios!A109</f>
        <v>S108</v>
      </c>
      <c r="B109" s="5" t="n">
        <f aca="false">0.5+Combined_Scenarios!AA109*10</f>
        <v>0.889863547758285</v>
      </c>
      <c r="C109" s="5" t="n">
        <f aca="false">0.33*B109*Combined_Scenarios!Z109</f>
        <v>17.8395394736842</v>
      </c>
      <c r="D109" s="5" t="n">
        <f aca="false">Combined_Scenarios!W109*Combined_Scenarios!X109</f>
        <v>19.2787627532269</v>
      </c>
      <c r="E109" s="5" t="n">
        <f aca="false">C109+D109</f>
        <v>37.1183022269111</v>
      </c>
      <c r="F109" s="5" t="n">
        <f aca="false">0.5*Combined_Scenarios!Y109</f>
        <v>1</v>
      </c>
      <c r="G109" s="5" t="n">
        <f aca="false">Combined_Scenarios!K109*F109</f>
        <v>208.333333333333</v>
      </c>
      <c r="H109" s="5" t="n">
        <f aca="false">Combined_Scenarios!H109+IF(E109=0,0,G109/E109)</f>
        <v>31.6126848706536</v>
      </c>
      <c r="I109" s="5" t="n">
        <f aca="false">H109-Combined_Scenarios!H109</f>
        <v>5.61268487065364</v>
      </c>
      <c r="J109" s="5" t="n">
        <f aca="false">E109*I109</f>
        <v>208.333333333333</v>
      </c>
      <c r="K109" s="5" t="n">
        <f aca="false">0.31*Combined_Scenarios!H109+17.8</f>
        <v>25.86</v>
      </c>
      <c r="L109" s="5" t="n">
        <f aca="false">H109-K109</f>
        <v>5.75268487065364</v>
      </c>
      <c r="M109" s="5" t="str">
        <f aca="false">IF(AND(H109&gt;=12,H109&lt;=35),"Within safe range","Outside safe range")</f>
        <v>Within safe range</v>
      </c>
      <c r="N109" s="5" t="n">
        <f aca="false">MAX(0,100-ABS(L109)*8)</f>
        <v>53.9785210347709</v>
      </c>
      <c r="O109" s="5" t="n">
        <f aca="false">MAX(-3,MIN(3,L109/3))</f>
        <v>1.91756162355121</v>
      </c>
      <c r="P109" s="5" t="n">
        <f aca="false">100-95*EXP(-(0.03353*O109^4+0.2179*O109^2))</f>
        <v>72.9062741515568</v>
      </c>
      <c r="Q109" s="5" t="n">
        <f aca="false">IF(H109&lt;18,E109*(18-H109),0)</f>
        <v>0</v>
      </c>
      <c r="R109" s="5" t="n">
        <f aca="false">IF(H109&gt;26,E109*(H109-26),0)</f>
        <v>208.333333333333</v>
      </c>
      <c r="S109" s="5" t="n">
        <f aca="false">Q109+R109</f>
        <v>208.333333333333</v>
      </c>
      <c r="T109" s="5" t="n">
        <f aca="false">MAX(0,100-S109/5)</f>
        <v>58.3333333333333</v>
      </c>
      <c r="U109" s="5" t="n">
        <f aca="false">(N109+T109)/2</f>
        <v>56.1559271840521</v>
      </c>
      <c r="V109" s="5" t="str">
        <f aca="false">IF(U109&gt;=60,"Recommended","Not Recommended")</f>
        <v>Not Recommended</v>
      </c>
      <c r="W109" s="5" t="str">
        <f aca="false">IF(Q109&gt;0,"Increase insulation thickness or reduce opening area to cut heat loss",IF(R109&gt;0,"Increase shading/ventilation or reduce solar-facing openings to cut heat gain","Design meets estimated comfort band without major changes"))</f>
        <v>Increase shading/ventilation or reduce solar-facing openings to cut heat gain</v>
      </c>
      <c r="X109" s="5" t="s">
        <v>555</v>
      </c>
    </row>
    <row r="110" customFormat="false" ht="15" hidden="false" customHeight="false" outlineLevel="0" collapsed="false">
      <c r="A110" s="5" t="str">
        <f aca="false">Combined_Scenarios!A110</f>
        <v>S109</v>
      </c>
      <c r="B110" s="5" t="n">
        <f aca="false">0.5+Combined_Scenarios!AA110*10</f>
        <v>0.889863547758285</v>
      </c>
      <c r="C110" s="5" t="n">
        <f aca="false">0.33*B110*Combined_Scenarios!Z110</f>
        <v>17.8395394736842</v>
      </c>
      <c r="D110" s="5" t="n">
        <f aca="false">Combined_Scenarios!W110*Combined_Scenarios!X110</f>
        <v>19.2787627532269</v>
      </c>
      <c r="E110" s="5" t="n">
        <f aca="false">C110+D110</f>
        <v>37.1183022269111</v>
      </c>
      <c r="F110" s="5" t="n">
        <f aca="false">0.5*Combined_Scenarios!Y110</f>
        <v>1</v>
      </c>
      <c r="G110" s="5" t="n">
        <f aca="false">Combined_Scenarios!K110*F110</f>
        <v>187.5</v>
      </c>
      <c r="H110" s="5" t="n">
        <f aca="false">Combined_Scenarios!H110+IF(E110=0,0,G110/E110)</f>
        <v>27.0514163835883</v>
      </c>
      <c r="I110" s="5" t="n">
        <f aca="false">H110-Combined_Scenarios!H110</f>
        <v>5.05141638358828</v>
      </c>
      <c r="J110" s="5" t="n">
        <f aca="false">E110*I110</f>
        <v>187.5</v>
      </c>
      <c r="K110" s="5" t="n">
        <f aca="false">0.31*Combined_Scenarios!H110+17.8</f>
        <v>24.62</v>
      </c>
      <c r="L110" s="5" t="n">
        <f aca="false">H110-K110</f>
        <v>2.43141638358827</v>
      </c>
      <c r="M110" s="5" t="str">
        <f aca="false">IF(AND(H110&gt;=12,H110&lt;=35),"Within safe range","Outside safe range")</f>
        <v>Within safe range</v>
      </c>
      <c r="N110" s="5" t="n">
        <f aca="false">MAX(0,100-ABS(L110)*8)</f>
        <v>80.5486689312938</v>
      </c>
      <c r="O110" s="5" t="n">
        <f aca="false">MAX(-3,MIN(3,L110/3))</f>
        <v>0.810472127862758</v>
      </c>
      <c r="P110" s="5" t="n">
        <f aca="false">100-95*EXP(-(0.03353*O110^4+0.2179*O110^2))</f>
        <v>18.8516674451162</v>
      </c>
      <c r="Q110" s="5" t="n">
        <f aca="false">IF(H110&lt;18,E110*(18-H110),0)</f>
        <v>0</v>
      </c>
      <c r="R110" s="5" t="n">
        <f aca="false">IF(H110&gt;26,E110*(H110-26),0)</f>
        <v>39.0267910923555</v>
      </c>
      <c r="S110" s="5" t="n">
        <f aca="false">Q110+R110</f>
        <v>39.0267910923555</v>
      </c>
      <c r="T110" s="5" t="n">
        <f aca="false">MAX(0,100-S110/5)</f>
        <v>92.1946417815289</v>
      </c>
      <c r="U110" s="5" t="n">
        <f aca="false">(N110+T110)/2</f>
        <v>86.3716553564114</v>
      </c>
      <c r="V110" s="5" t="str">
        <f aca="false">IF(U110&gt;=60,"Recommended","Not Recommended")</f>
        <v>Recommended</v>
      </c>
      <c r="W110" s="5" t="str">
        <f aca="false">IF(Q110&gt;0,"Increase insulation thickness or reduce opening area to cut heat loss",IF(R110&gt;0,"Increase shading/ventilation or reduce solar-facing openings to cut heat gain","Design meets estimated comfort band without major changes"))</f>
        <v>Increase shading/ventilation or reduce solar-facing openings to cut heat gain</v>
      </c>
      <c r="X110" s="5" t="s">
        <v>555</v>
      </c>
    </row>
    <row r="111" customFormat="false" ht="15" hidden="false" customHeight="false" outlineLevel="0" collapsed="false">
      <c r="A111" s="5" t="str">
        <f aca="false">Combined_Scenarios!A111</f>
        <v>S110</v>
      </c>
      <c r="B111" s="5" t="n">
        <f aca="false">0.5+Combined_Scenarios!AA111*10</f>
        <v>0.889863547758285</v>
      </c>
      <c r="C111" s="5" t="n">
        <f aca="false">0.33*B111*Combined_Scenarios!Z111</f>
        <v>17.8395394736842</v>
      </c>
      <c r="D111" s="5" t="n">
        <f aca="false">Combined_Scenarios!W111*Combined_Scenarios!X111</f>
        <v>19.2787627532269</v>
      </c>
      <c r="E111" s="5" t="n">
        <f aca="false">C111+D111</f>
        <v>37.1183022269111</v>
      </c>
      <c r="F111" s="5" t="n">
        <f aca="false">0.5*Combined_Scenarios!Y111</f>
        <v>1</v>
      </c>
      <c r="G111" s="5" t="n">
        <f aca="false">Combined_Scenarios!K111*F111</f>
        <v>125</v>
      </c>
      <c r="H111" s="5" t="n">
        <f aca="false">Combined_Scenarios!H111+IF(E111=0,0,G111/E111)</f>
        <v>13.3676109223922</v>
      </c>
      <c r="I111" s="5" t="n">
        <f aca="false">H111-Combined_Scenarios!H111</f>
        <v>3.36761092239219</v>
      </c>
      <c r="J111" s="5" t="n">
        <f aca="false">E111*I111</f>
        <v>125</v>
      </c>
      <c r="K111" s="5" t="n">
        <f aca="false">0.31*Combined_Scenarios!H111+17.8</f>
        <v>20.9</v>
      </c>
      <c r="L111" s="5" t="n">
        <f aca="false">H111-K111</f>
        <v>-7.53238907760782</v>
      </c>
      <c r="M111" s="5" t="str">
        <f aca="false">IF(AND(H111&gt;=12,H111&lt;=35),"Within safe range","Outside safe range")</f>
        <v>Within safe range</v>
      </c>
      <c r="N111" s="5" t="n">
        <f aca="false">MAX(0,100-ABS(L111)*8)</f>
        <v>39.7408873791375</v>
      </c>
      <c r="O111" s="5" t="n">
        <f aca="false">MAX(-3,MIN(3,L111/3))</f>
        <v>-2.51079635920261</v>
      </c>
      <c r="P111" s="5" t="n">
        <f aca="false">100-95*EXP(-(0.03353*O111^4+0.2179*O111^2))</f>
        <v>93.6549427085733</v>
      </c>
      <c r="Q111" s="5" t="n">
        <f aca="false">IF(H111&lt;18,E111*(18-H111),0)</f>
        <v>171.946417815289</v>
      </c>
      <c r="R111" s="5" t="n">
        <f aca="false">IF(H111&gt;26,E111*(H111-26),0)</f>
        <v>0</v>
      </c>
      <c r="S111" s="5" t="n">
        <f aca="false">Q111+R111</f>
        <v>171.946417815289</v>
      </c>
      <c r="T111" s="5" t="n">
        <f aca="false">MAX(0,100-S111/5)</f>
        <v>65.6107164369422</v>
      </c>
      <c r="U111" s="5" t="n">
        <f aca="false">(N111+T111)/2</f>
        <v>52.6758019080398</v>
      </c>
      <c r="V111" s="5" t="str">
        <f aca="false">IF(U111&gt;=60,"Recommended","Not Recommended")</f>
        <v>Not Recommended</v>
      </c>
      <c r="W111" s="5" t="str">
        <f aca="false">IF(Q111&gt;0,"Increase insulation thickness or reduce opening area to cut heat loss",IF(R111&gt;0,"Increase shading/ventilation or reduce solar-facing openings to cut heat gain","Design meets estimated comfort band without major changes"))</f>
        <v>Increase insulation thickness or reduce opening area to cut heat loss</v>
      </c>
      <c r="X111" s="5" t="s">
        <v>555</v>
      </c>
    </row>
    <row r="112" customFormat="false" ht="15" hidden="false" customHeight="false" outlineLevel="0" collapsed="false">
      <c r="A112" s="5" t="str">
        <f aca="false">Combined_Scenarios!A112</f>
        <v>S111</v>
      </c>
      <c r="B112" s="5" t="n">
        <f aca="false">0.5+Combined_Scenarios!AA112*10</f>
        <v>0.884615384615385</v>
      </c>
      <c r="C112" s="5" t="n">
        <f aca="false">0.33*B112*Combined_Scenarios!Z112</f>
        <v>9.29775</v>
      </c>
      <c r="D112" s="5" t="n">
        <f aca="false">Combined_Scenarios!W112*Combined_Scenarios!X112</f>
        <v>9.03690473879366</v>
      </c>
      <c r="E112" s="5" t="n">
        <f aca="false">C112+D112</f>
        <v>18.3346547387937</v>
      </c>
      <c r="F112" s="5" t="n">
        <f aca="false">0.5*Combined_Scenarios!Y112</f>
        <v>0.7</v>
      </c>
      <c r="G112" s="5" t="n">
        <f aca="false">Combined_Scenarios!K112*F112</f>
        <v>72.9166666666667</v>
      </c>
      <c r="H112" s="5" t="n">
        <f aca="false">Combined_Scenarios!H112+IF(E112=0,0,G112/E112)</f>
        <v>6.9769860793934</v>
      </c>
      <c r="I112" s="5" t="n">
        <f aca="false">H112-Combined_Scenarios!H112</f>
        <v>3.9769860793934</v>
      </c>
      <c r="J112" s="5" t="n">
        <f aca="false">E112*I112</f>
        <v>72.9166666666667</v>
      </c>
      <c r="K112" s="5" t="n">
        <f aca="false">0.31*Combined_Scenarios!H112+17.8</f>
        <v>18.73</v>
      </c>
      <c r="L112" s="5" t="n">
        <f aca="false">H112-K112</f>
        <v>-11.7530139206066</v>
      </c>
      <c r="M112" s="5" t="str">
        <f aca="false">IF(AND(H112&gt;=12,H112&lt;=35),"Within safe range","Outside safe range")</f>
        <v>Outside safe range</v>
      </c>
      <c r="N112" s="5" t="n">
        <f aca="false">MAX(0,100-ABS(L112)*8)</f>
        <v>5.97588863514721</v>
      </c>
      <c r="O112" s="5" t="n">
        <f aca="false">MAX(-3,MIN(3,L112/3))</f>
        <v>-3</v>
      </c>
      <c r="P112" s="5" t="n">
        <f aca="false">100-95*EXP(-(0.03353*O112^4+0.2179*O112^2))</f>
        <v>99.1158717152693</v>
      </c>
      <c r="Q112" s="5" t="n">
        <f aca="false">IF(H112&lt;18,E112*(18-H112),0)</f>
        <v>202.103154415238</v>
      </c>
      <c r="R112" s="5" t="n">
        <f aca="false">IF(H112&gt;26,E112*(H112-26),0)</f>
        <v>0</v>
      </c>
      <c r="S112" s="5" t="n">
        <f aca="false">Q112+R112</f>
        <v>202.103154415238</v>
      </c>
      <c r="T112" s="5" t="n">
        <f aca="false">MAX(0,100-S112/5)</f>
        <v>59.5793691169524</v>
      </c>
      <c r="U112" s="5" t="n">
        <f aca="false">(N112+T112)/2</f>
        <v>32.7776288760498</v>
      </c>
      <c r="V112" s="5" t="str">
        <f aca="false">IF(U112&gt;=60,"Recommended","Not Recommended")</f>
        <v>Not Recommended</v>
      </c>
      <c r="W112" s="5" t="str">
        <f aca="false">IF(Q112&gt;0,"Increase insulation thickness or reduce opening area to cut heat loss",IF(R112&gt;0,"Increase shading/ventilation or reduce solar-facing openings to cut heat gain","Design meets estimated comfort band without major changes"))</f>
        <v>Increase insulation thickness or reduce opening area to cut heat loss</v>
      </c>
      <c r="X112" s="5" t="s">
        <v>555</v>
      </c>
    </row>
    <row r="113" customFormat="false" ht="15" hidden="false" customHeight="false" outlineLevel="0" collapsed="false">
      <c r="A113" s="5" t="str">
        <f aca="false">Combined_Scenarios!A113</f>
        <v>S112</v>
      </c>
      <c r="B113" s="5" t="n">
        <f aca="false">0.5+Combined_Scenarios!AA113*10</f>
        <v>0.884615384615385</v>
      </c>
      <c r="C113" s="5" t="n">
        <f aca="false">0.33*B113*Combined_Scenarios!Z113</f>
        <v>9.29775</v>
      </c>
      <c r="D113" s="5" t="n">
        <f aca="false">Combined_Scenarios!W113*Combined_Scenarios!X113</f>
        <v>9.03690473879366</v>
      </c>
      <c r="E113" s="5" t="n">
        <f aca="false">C113+D113</f>
        <v>18.3346547387937</v>
      </c>
      <c r="F113" s="5" t="n">
        <f aca="false">0.5*Combined_Scenarios!Y113</f>
        <v>0.7</v>
      </c>
      <c r="G113" s="5" t="n">
        <f aca="false">Combined_Scenarios!K113*F113</f>
        <v>145.833333333333</v>
      </c>
      <c r="H113" s="5" t="n">
        <f aca="false">Combined_Scenarios!H113+IF(E113=0,0,G113/E113)</f>
        <v>22.9539721587868</v>
      </c>
      <c r="I113" s="5" t="n">
        <f aca="false">H113-Combined_Scenarios!H113</f>
        <v>7.9539721587868</v>
      </c>
      <c r="J113" s="5" t="n">
        <f aca="false">E113*I113</f>
        <v>145.833333333333</v>
      </c>
      <c r="K113" s="5" t="n">
        <f aca="false">0.31*Combined_Scenarios!H113+17.8</f>
        <v>22.45</v>
      </c>
      <c r="L113" s="5" t="n">
        <f aca="false">H113-K113</f>
        <v>0.503972158786802</v>
      </c>
      <c r="M113" s="5" t="str">
        <f aca="false">IF(AND(H113&gt;=12,H113&lt;=35),"Within safe range","Outside safe range")</f>
        <v>Within safe range</v>
      </c>
      <c r="N113" s="5" t="n">
        <f aca="false">MAX(0,100-ABS(L113)*8)</f>
        <v>95.9682227297056</v>
      </c>
      <c r="O113" s="5" t="n">
        <f aca="false">MAX(-3,MIN(3,L113/3))</f>
        <v>0.167990719595601</v>
      </c>
      <c r="P113" s="5" t="n">
        <f aca="false">100-95*EXP(-(0.03353*O113^4+0.2179*O113^2))</f>
        <v>5.58491514862412</v>
      </c>
      <c r="Q113" s="5" t="n">
        <f aca="false">IF(H113&lt;18,E113*(18-H113),0)</f>
        <v>0</v>
      </c>
      <c r="R113" s="5" t="n">
        <f aca="false">IF(H113&gt;26,E113*(H113-26),0)</f>
        <v>0</v>
      </c>
      <c r="S113" s="5" t="n">
        <f aca="false">Q113+R113</f>
        <v>0</v>
      </c>
      <c r="T113" s="5" t="n">
        <f aca="false">MAX(0,100-S113/5)</f>
        <v>100</v>
      </c>
      <c r="U113" s="5" t="n">
        <f aca="false">(N113+T113)/2</f>
        <v>97.9841113648528</v>
      </c>
      <c r="V113" s="5" t="str">
        <f aca="false">IF(U113&gt;=60,"Recommended","Not Recommended")</f>
        <v>Recommended</v>
      </c>
      <c r="W113" s="5" t="str">
        <f aca="false">IF(Q113&gt;0,"Increase insulation thickness or reduce opening area to cut heat loss",IF(R113&gt;0,"Increase shading/ventilation or reduce solar-facing openings to cut heat gain","Design meets estimated comfort band without major changes"))</f>
        <v>Design meets estimated comfort band without major changes</v>
      </c>
      <c r="X113" s="5" t="s">
        <v>555</v>
      </c>
    </row>
    <row r="114" customFormat="false" ht="15" hidden="false" customHeight="false" outlineLevel="0" collapsed="false">
      <c r="A114" s="5" t="str">
        <f aca="false">Combined_Scenarios!A114</f>
        <v>S113</v>
      </c>
      <c r="B114" s="5" t="n">
        <f aca="false">0.5+Combined_Scenarios!AA114*10</f>
        <v>0.884615384615385</v>
      </c>
      <c r="C114" s="5" t="n">
        <f aca="false">0.33*B114*Combined_Scenarios!Z114</f>
        <v>9.29775</v>
      </c>
      <c r="D114" s="5" t="n">
        <f aca="false">Combined_Scenarios!W114*Combined_Scenarios!X114</f>
        <v>9.03690473879366</v>
      </c>
      <c r="E114" s="5" t="n">
        <f aca="false">C114+D114</f>
        <v>18.3346547387937</v>
      </c>
      <c r="F114" s="5" t="n">
        <f aca="false">0.5*Combined_Scenarios!Y114</f>
        <v>0.7</v>
      </c>
      <c r="G114" s="5" t="n">
        <f aca="false">Combined_Scenarios!K114*F114</f>
        <v>145.833333333333</v>
      </c>
      <c r="H114" s="5" t="n">
        <f aca="false">Combined_Scenarios!H114+IF(E114=0,0,G114/E114)</f>
        <v>33.9539721587868</v>
      </c>
      <c r="I114" s="5" t="n">
        <f aca="false">H114-Combined_Scenarios!H114</f>
        <v>7.9539721587868</v>
      </c>
      <c r="J114" s="5" t="n">
        <f aca="false">E114*I114</f>
        <v>145.833333333333</v>
      </c>
      <c r="K114" s="5" t="n">
        <f aca="false">0.31*Combined_Scenarios!H114+17.8</f>
        <v>25.86</v>
      </c>
      <c r="L114" s="5" t="n">
        <f aca="false">H114-K114</f>
        <v>8.09397215878681</v>
      </c>
      <c r="M114" s="5" t="str">
        <f aca="false">IF(AND(H114&gt;=12,H114&lt;=35),"Within safe range","Outside safe range")</f>
        <v>Within safe range</v>
      </c>
      <c r="N114" s="5" t="n">
        <f aca="false">MAX(0,100-ABS(L114)*8)</f>
        <v>35.2482227297056</v>
      </c>
      <c r="O114" s="5" t="n">
        <f aca="false">MAX(-3,MIN(3,L114/3))</f>
        <v>2.6979907195956</v>
      </c>
      <c r="P114" s="5" t="n">
        <f aca="false">100-95*EXP(-(0.03353*O114^4+0.2179*O114^2))</f>
        <v>96.7092156920407</v>
      </c>
      <c r="Q114" s="5" t="n">
        <f aca="false">IF(H114&lt;18,E114*(18-H114),0)</f>
        <v>0</v>
      </c>
      <c r="R114" s="5" t="n">
        <f aca="false">IF(H114&gt;26,E114*(H114-26),0)</f>
        <v>145.833333333333</v>
      </c>
      <c r="S114" s="5" t="n">
        <f aca="false">Q114+R114</f>
        <v>145.833333333333</v>
      </c>
      <c r="T114" s="5" t="n">
        <f aca="false">MAX(0,100-S114/5)</f>
        <v>70.8333333333333</v>
      </c>
      <c r="U114" s="5" t="n">
        <f aca="false">(N114+T114)/2</f>
        <v>53.0407780315195</v>
      </c>
      <c r="V114" s="5" t="str">
        <f aca="false">IF(U114&gt;=60,"Recommended","Not Recommended")</f>
        <v>Not Recommended</v>
      </c>
      <c r="W114" s="5" t="str">
        <f aca="false">IF(Q114&gt;0,"Increase insulation thickness or reduce opening area to cut heat loss",IF(R114&gt;0,"Increase shading/ventilation or reduce solar-facing openings to cut heat gain","Design meets estimated comfort band without major changes"))</f>
        <v>Increase shading/ventilation or reduce solar-facing openings to cut heat gain</v>
      </c>
      <c r="X114" s="5" t="s">
        <v>555</v>
      </c>
    </row>
    <row r="115" customFormat="false" ht="15" hidden="false" customHeight="false" outlineLevel="0" collapsed="false">
      <c r="A115" s="5" t="str">
        <f aca="false">Combined_Scenarios!A115</f>
        <v>S114</v>
      </c>
      <c r="B115" s="5" t="n">
        <f aca="false">0.5+Combined_Scenarios!AA115*10</f>
        <v>0.884615384615385</v>
      </c>
      <c r="C115" s="5" t="n">
        <f aca="false">0.33*B115*Combined_Scenarios!Z115</f>
        <v>9.29775</v>
      </c>
      <c r="D115" s="5" t="n">
        <f aca="false">Combined_Scenarios!W115*Combined_Scenarios!X115</f>
        <v>9.03690473879366</v>
      </c>
      <c r="E115" s="5" t="n">
        <f aca="false">C115+D115</f>
        <v>18.3346547387937</v>
      </c>
      <c r="F115" s="5" t="n">
        <f aca="false">0.5*Combined_Scenarios!Y115</f>
        <v>0.7</v>
      </c>
      <c r="G115" s="5" t="n">
        <f aca="false">Combined_Scenarios!K115*F115</f>
        <v>131.25</v>
      </c>
      <c r="H115" s="5" t="n">
        <f aca="false">Combined_Scenarios!H115+IF(E115=0,0,G115/E115)</f>
        <v>29.1585749429081</v>
      </c>
      <c r="I115" s="5" t="n">
        <f aca="false">H115-Combined_Scenarios!H115</f>
        <v>7.15857494290813</v>
      </c>
      <c r="J115" s="5" t="n">
        <f aca="false">E115*I115</f>
        <v>131.25</v>
      </c>
      <c r="K115" s="5" t="n">
        <f aca="false">0.31*Combined_Scenarios!H115+17.8</f>
        <v>24.62</v>
      </c>
      <c r="L115" s="5" t="n">
        <f aca="false">H115-K115</f>
        <v>4.53857494290812</v>
      </c>
      <c r="M115" s="5" t="str">
        <f aca="false">IF(AND(H115&gt;=12,H115&lt;=35),"Within safe range","Outside safe range")</f>
        <v>Within safe range</v>
      </c>
      <c r="N115" s="5" t="n">
        <f aca="false">MAX(0,100-ABS(L115)*8)</f>
        <v>63.691400456735</v>
      </c>
      <c r="O115" s="5" t="n">
        <f aca="false">MAX(-3,MIN(3,L115/3))</f>
        <v>1.51285831430271</v>
      </c>
      <c r="P115" s="5" t="n">
        <f aca="false">100-95*EXP(-(0.03353*O115^4+0.2179*O115^2))</f>
        <v>51.5990660212032</v>
      </c>
      <c r="Q115" s="5" t="n">
        <f aca="false">IF(H115&lt;18,E115*(18-H115),0)</f>
        <v>0</v>
      </c>
      <c r="R115" s="5" t="n">
        <f aca="false">IF(H115&gt;26,E115*(H115-26),0)</f>
        <v>57.9113810448254</v>
      </c>
      <c r="S115" s="5" t="n">
        <f aca="false">Q115+R115</f>
        <v>57.9113810448254</v>
      </c>
      <c r="T115" s="5" t="n">
        <f aca="false">MAX(0,100-S115/5)</f>
        <v>88.4177237910349</v>
      </c>
      <c r="U115" s="5" t="n">
        <f aca="false">(N115+T115)/2</f>
        <v>76.054562123885</v>
      </c>
      <c r="V115" s="5" t="str">
        <f aca="false">IF(U115&gt;=60,"Recommended","Not Recommended")</f>
        <v>Recommended</v>
      </c>
      <c r="W115" s="5" t="str">
        <f aca="false">IF(Q115&gt;0,"Increase insulation thickness or reduce opening area to cut heat loss",IF(R115&gt;0,"Increase shading/ventilation or reduce solar-facing openings to cut heat gain","Design meets estimated comfort band without major changes"))</f>
        <v>Increase shading/ventilation or reduce solar-facing openings to cut heat gain</v>
      </c>
      <c r="X115" s="5" t="s">
        <v>555</v>
      </c>
    </row>
    <row r="116" customFormat="false" ht="15" hidden="false" customHeight="false" outlineLevel="0" collapsed="false">
      <c r="A116" s="5" t="str">
        <f aca="false">Combined_Scenarios!A116</f>
        <v>S115</v>
      </c>
      <c r="B116" s="5" t="n">
        <f aca="false">0.5+Combined_Scenarios!AA116*10</f>
        <v>0.884615384615385</v>
      </c>
      <c r="C116" s="5" t="n">
        <f aca="false">0.33*B116*Combined_Scenarios!Z116</f>
        <v>9.29775</v>
      </c>
      <c r="D116" s="5" t="n">
        <f aca="false">Combined_Scenarios!W116*Combined_Scenarios!X116</f>
        <v>9.03690473879366</v>
      </c>
      <c r="E116" s="5" t="n">
        <f aca="false">C116+D116</f>
        <v>18.3346547387937</v>
      </c>
      <c r="F116" s="5" t="n">
        <f aca="false">0.5*Combined_Scenarios!Y116</f>
        <v>0.7</v>
      </c>
      <c r="G116" s="5" t="n">
        <f aca="false">Combined_Scenarios!K116*F116</f>
        <v>87.5</v>
      </c>
      <c r="H116" s="5" t="n">
        <f aca="false">Combined_Scenarios!H116+IF(E116=0,0,G116/E116)</f>
        <v>14.7723832952721</v>
      </c>
      <c r="I116" s="5" t="n">
        <f aca="false">H116-Combined_Scenarios!H116</f>
        <v>4.77238329527208</v>
      </c>
      <c r="J116" s="5" t="n">
        <f aca="false">E116*I116</f>
        <v>87.5</v>
      </c>
      <c r="K116" s="5" t="n">
        <f aca="false">0.31*Combined_Scenarios!H116+17.8</f>
        <v>20.9</v>
      </c>
      <c r="L116" s="5" t="n">
        <f aca="false">H116-K116</f>
        <v>-6.12761670472792</v>
      </c>
      <c r="M116" s="5" t="str">
        <f aca="false">IF(AND(H116&gt;=12,H116&lt;=35),"Within safe range","Outside safe range")</f>
        <v>Within safe range</v>
      </c>
      <c r="N116" s="5" t="n">
        <f aca="false">MAX(0,100-ABS(L116)*8)</f>
        <v>50.9790663621766</v>
      </c>
      <c r="O116" s="5" t="n">
        <f aca="false">MAX(-3,MIN(3,L116/3))</f>
        <v>-2.04253890157597</v>
      </c>
      <c r="P116" s="5" t="n">
        <f aca="false">100-95*EXP(-(0.03353*O116^4+0.2179*O116^2))</f>
        <v>78.6467020857312</v>
      </c>
      <c r="Q116" s="5" t="n">
        <f aca="false">IF(H116&lt;18,E116*(18-H116),0)</f>
        <v>59.1772379103493</v>
      </c>
      <c r="R116" s="5" t="n">
        <f aca="false">IF(H116&gt;26,E116*(H116-26),0)</f>
        <v>0</v>
      </c>
      <c r="S116" s="5" t="n">
        <f aca="false">Q116+R116</f>
        <v>59.1772379103493</v>
      </c>
      <c r="T116" s="5" t="n">
        <f aca="false">MAX(0,100-S116/5)</f>
        <v>88.1645524179301</v>
      </c>
      <c r="U116" s="5" t="n">
        <f aca="false">(N116+T116)/2</f>
        <v>69.5718093900534</v>
      </c>
      <c r="V116" s="5" t="str">
        <f aca="false">IF(U116&gt;=60,"Recommended","Not Recommended")</f>
        <v>Recommended</v>
      </c>
      <c r="W116" s="5" t="str">
        <f aca="false">IF(Q116&gt;0,"Increase insulation thickness or reduce opening area to cut heat loss",IF(R116&gt;0,"Increase shading/ventilation or reduce solar-facing openings to cut heat gain","Design meets estimated comfort band without major changes"))</f>
        <v>Increase insulation thickness or reduce opening area to cut heat loss</v>
      </c>
      <c r="X116" s="5" t="s">
        <v>555</v>
      </c>
    </row>
    <row r="117" customFormat="false" ht="15" hidden="false" customHeight="false" outlineLevel="0" collapsed="false">
      <c r="A117" s="5" t="str">
        <f aca="false">Combined_Scenarios!A117</f>
        <v>S116</v>
      </c>
      <c r="B117" s="5" t="n">
        <f aca="false">0.5+Combined_Scenarios!AA117*10</f>
        <v>0.889863547758285</v>
      </c>
      <c r="C117" s="5" t="n">
        <f aca="false">0.33*B117*Combined_Scenarios!Z117</f>
        <v>17.8395394736842</v>
      </c>
      <c r="D117" s="5" t="n">
        <f aca="false">Combined_Scenarios!W117*Combined_Scenarios!X117</f>
        <v>12.7291258177865</v>
      </c>
      <c r="E117" s="5" t="n">
        <f aca="false">C117+D117</f>
        <v>30.5686652914707</v>
      </c>
      <c r="F117" s="5" t="n">
        <f aca="false">0.5*Combined_Scenarios!Y117</f>
        <v>1</v>
      </c>
      <c r="G117" s="5" t="n">
        <f aca="false">Combined_Scenarios!K117*F117</f>
        <v>104.166666666667</v>
      </c>
      <c r="H117" s="5" t="n">
        <f aca="false">Combined_Scenarios!H117+IF(E117=0,0,G117/E117)</f>
        <v>6.40762887988215</v>
      </c>
      <c r="I117" s="5" t="n">
        <f aca="false">H117-Combined_Scenarios!H117</f>
        <v>3.40762887988215</v>
      </c>
      <c r="J117" s="5" t="n">
        <f aca="false">E117*I117</f>
        <v>104.166666666667</v>
      </c>
      <c r="K117" s="5" t="n">
        <f aca="false">0.31*Combined_Scenarios!H117+17.8</f>
        <v>18.73</v>
      </c>
      <c r="L117" s="5" t="n">
        <f aca="false">H117-K117</f>
        <v>-12.3223711201179</v>
      </c>
      <c r="M117" s="5" t="str">
        <f aca="false">IF(AND(H117&gt;=12,H117&lt;=35),"Within safe range","Outside safe range")</f>
        <v>Outside safe range</v>
      </c>
      <c r="N117" s="5" t="n">
        <f aca="false">MAX(0,100-ABS(L117)*8)</f>
        <v>1.4210310390572</v>
      </c>
      <c r="O117" s="5" t="n">
        <f aca="false">MAX(-3,MIN(3,L117/3))</f>
        <v>-3</v>
      </c>
      <c r="P117" s="5" t="n">
        <f aca="false">100-95*EXP(-(0.03353*O117^4+0.2179*O117^2))</f>
        <v>99.1158717152693</v>
      </c>
      <c r="Q117" s="5" t="n">
        <f aca="false">IF(H117&lt;18,E117*(18-H117),0)</f>
        <v>354.363312705394</v>
      </c>
      <c r="R117" s="5" t="n">
        <f aca="false">IF(H117&gt;26,E117*(H117-26),0)</f>
        <v>0</v>
      </c>
      <c r="S117" s="5" t="n">
        <f aca="false">Q117+R117</f>
        <v>354.363312705394</v>
      </c>
      <c r="T117" s="5" t="n">
        <f aca="false">MAX(0,100-S117/5)</f>
        <v>29.1273374589212</v>
      </c>
      <c r="U117" s="5" t="n">
        <f aca="false">(N117+T117)/2</f>
        <v>15.2741842489892</v>
      </c>
      <c r="V117" s="5" t="str">
        <f aca="false">IF(U117&gt;=60,"Recommended","Not Recommended")</f>
        <v>Not Recommended</v>
      </c>
      <c r="W117" s="5" t="str">
        <f aca="false">IF(Q117&gt;0,"Increase insulation thickness or reduce opening area to cut heat loss",IF(R117&gt;0,"Increase shading/ventilation or reduce solar-facing openings to cut heat gain","Design meets estimated comfort band without major changes"))</f>
        <v>Increase insulation thickness or reduce opening area to cut heat loss</v>
      </c>
      <c r="X117" s="5" t="s">
        <v>555</v>
      </c>
    </row>
    <row r="118" customFormat="false" ht="15" hidden="false" customHeight="false" outlineLevel="0" collapsed="false">
      <c r="A118" s="5" t="str">
        <f aca="false">Combined_Scenarios!A118</f>
        <v>S117</v>
      </c>
      <c r="B118" s="5" t="n">
        <f aca="false">0.5+Combined_Scenarios!AA118*10</f>
        <v>0.889863547758285</v>
      </c>
      <c r="C118" s="5" t="n">
        <f aca="false">0.33*B118*Combined_Scenarios!Z118</f>
        <v>17.8395394736842</v>
      </c>
      <c r="D118" s="5" t="n">
        <f aca="false">Combined_Scenarios!W118*Combined_Scenarios!X118</f>
        <v>12.7291258177865</v>
      </c>
      <c r="E118" s="5" t="n">
        <f aca="false">C118+D118</f>
        <v>30.5686652914707</v>
      </c>
      <c r="F118" s="5" t="n">
        <f aca="false">0.5*Combined_Scenarios!Y118</f>
        <v>1</v>
      </c>
      <c r="G118" s="5" t="n">
        <f aca="false">Combined_Scenarios!K118*F118</f>
        <v>208.333333333333</v>
      </c>
      <c r="H118" s="5" t="n">
        <f aca="false">Combined_Scenarios!H118+IF(E118=0,0,G118/E118)</f>
        <v>21.8152577597643</v>
      </c>
      <c r="I118" s="5" t="n">
        <f aca="false">H118-Combined_Scenarios!H118</f>
        <v>6.8152577597643</v>
      </c>
      <c r="J118" s="5" t="n">
        <f aca="false">E118*I118</f>
        <v>208.333333333333</v>
      </c>
      <c r="K118" s="5" t="n">
        <f aca="false">0.31*Combined_Scenarios!H118+17.8</f>
        <v>22.45</v>
      </c>
      <c r="L118" s="5" t="n">
        <f aca="false">H118-K118</f>
        <v>-0.634742240235703</v>
      </c>
      <c r="M118" s="5" t="str">
        <f aca="false">IF(AND(H118&gt;=12,H118&lt;=35),"Within safe range","Outside safe range")</f>
        <v>Within safe range</v>
      </c>
      <c r="N118" s="5" t="n">
        <f aca="false">MAX(0,100-ABS(L118)*8)</f>
        <v>94.9220620781144</v>
      </c>
      <c r="O118" s="5" t="n">
        <f aca="false">MAX(-3,MIN(3,L118/3))</f>
        <v>-0.211580746745234</v>
      </c>
      <c r="P118" s="5" t="n">
        <f aca="false">100-95*EXP(-(0.03353*O118^4+0.2179*O118^2))</f>
        <v>5.92850341209667</v>
      </c>
      <c r="Q118" s="5" t="n">
        <f aca="false">IF(H118&lt;18,E118*(18-H118),0)</f>
        <v>0</v>
      </c>
      <c r="R118" s="5" t="n">
        <f aca="false">IF(H118&gt;26,E118*(H118-26),0)</f>
        <v>0</v>
      </c>
      <c r="S118" s="5" t="n">
        <f aca="false">Q118+R118</f>
        <v>0</v>
      </c>
      <c r="T118" s="5" t="n">
        <f aca="false">MAX(0,100-S118/5)</f>
        <v>100</v>
      </c>
      <c r="U118" s="5" t="n">
        <f aca="false">(N118+T118)/2</f>
        <v>97.4610310390572</v>
      </c>
      <c r="V118" s="5" t="str">
        <f aca="false">IF(U118&gt;=60,"Recommended","Not Recommended")</f>
        <v>Recommended</v>
      </c>
      <c r="W118" s="5" t="str">
        <f aca="false">IF(Q118&gt;0,"Increase insulation thickness or reduce opening area to cut heat loss",IF(R118&gt;0,"Increase shading/ventilation or reduce solar-facing openings to cut heat gain","Design meets estimated comfort band without major changes"))</f>
        <v>Design meets estimated comfort band without major changes</v>
      </c>
      <c r="X118" s="5" t="s">
        <v>555</v>
      </c>
    </row>
    <row r="119" customFormat="false" ht="15" hidden="false" customHeight="false" outlineLevel="0" collapsed="false">
      <c r="A119" s="5" t="str">
        <f aca="false">Combined_Scenarios!A119</f>
        <v>S118</v>
      </c>
      <c r="B119" s="5" t="n">
        <f aca="false">0.5+Combined_Scenarios!AA119*10</f>
        <v>0.889863547758285</v>
      </c>
      <c r="C119" s="5" t="n">
        <f aca="false">0.33*B119*Combined_Scenarios!Z119</f>
        <v>17.8395394736842</v>
      </c>
      <c r="D119" s="5" t="n">
        <f aca="false">Combined_Scenarios!W119*Combined_Scenarios!X119</f>
        <v>12.7291258177865</v>
      </c>
      <c r="E119" s="5" t="n">
        <f aca="false">C119+D119</f>
        <v>30.5686652914707</v>
      </c>
      <c r="F119" s="5" t="n">
        <f aca="false">0.5*Combined_Scenarios!Y119</f>
        <v>1</v>
      </c>
      <c r="G119" s="5" t="n">
        <f aca="false">Combined_Scenarios!K119*F119</f>
        <v>208.333333333333</v>
      </c>
      <c r="H119" s="5" t="n">
        <f aca="false">Combined_Scenarios!H119+IF(E119=0,0,G119/E119)</f>
        <v>32.8152577597643</v>
      </c>
      <c r="I119" s="5" t="n">
        <f aca="false">H119-Combined_Scenarios!H119</f>
        <v>6.8152577597643</v>
      </c>
      <c r="J119" s="5" t="n">
        <f aca="false">E119*I119</f>
        <v>208.333333333333</v>
      </c>
      <c r="K119" s="5" t="n">
        <f aca="false">0.31*Combined_Scenarios!H119+17.8</f>
        <v>25.86</v>
      </c>
      <c r="L119" s="5" t="n">
        <f aca="false">H119-K119</f>
        <v>6.9552577597643</v>
      </c>
      <c r="M119" s="5" t="str">
        <f aca="false">IF(AND(H119&gt;=12,H119&lt;=35),"Within safe range","Outside safe range")</f>
        <v>Within safe range</v>
      </c>
      <c r="N119" s="5" t="n">
        <f aca="false">MAX(0,100-ABS(L119)*8)</f>
        <v>44.3579379218856</v>
      </c>
      <c r="O119" s="5" t="n">
        <f aca="false">MAX(-3,MIN(3,L119/3))</f>
        <v>2.31841925325477</v>
      </c>
      <c r="P119" s="5" t="n">
        <f aca="false">100-95*EXP(-(0.03353*O119^4+0.2179*O119^2))</f>
        <v>88.8222800858276</v>
      </c>
      <c r="Q119" s="5" t="n">
        <f aca="false">IF(H119&lt;18,E119*(18-H119),0)</f>
        <v>0</v>
      </c>
      <c r="R119" s="5" t="n">
        <f aca="false">IF(H119&gt;26,E119*(H119-26),0)</f>
        <v>208.333333333333</v>
      </c>
      <c r="S119" s="5" t="n">
        <f aca="false">Q119+R119</f>
        <v>208.333333333333</v>
      </c>
      <c r="T119" s="5" t="n">
        <f aca="false">MAX(0,100-S119/5)</f>
        <v>58.3333333333333</v>
      </c>
      <c r="U119" s="5" t="n">
        <f aca="false">(N119+T119)/2</f>
        <v>51.3456356276095</v>
      </c>
      <c r="V119" s="5" t="str">
        <f aca="false">IF(U119&gt;=60,"Recommended","Not Recommended")</f>
        <v>Not Recommended</v>
      </c>
      <c r="W119" s="5" t="str">
        <f aca="false">IF(Q119&gt;0,"Increase insulation thickness or reduce opening area to cut heat loss",IF(R119&gt;0,"Increase shading/ventilation or reduce solar-facing openings to cut heat gain","Design meets estimated comfort band without major changes"))</f>
        <v>Increase shading/ventilation or reduce solar-facing openings to cut heat gain</v>
      </c>
      <c r="X119" s="5" t="s">
        <v>555</v>
      </c>
    </row>
    <row r="120" customFormat="false" ht="15" hidden="false" customHeight="false" outlineLevel="0" collapsed="false">
      <c r="A120" s="5" t="str">
        <f aca="false">Combined_Scenarios!A120</f>
        <v>S119</v>
      </c>
      <c r="B120" s="5" t="n">
        <f aca="false">0.5+Combined_Scenarios!AA120*10</f>
        <v>0.889863547758285</v>
      </c>
      <c r="C120" s="5" t="n">
        <f aca="false">0.33*B120*Combined_Scenarios!Z120</f>
        <v>17.8395394736842</v>
      </c>
      <c r="D120" s="5" t="n">
        <f aca="false">Combined_Scenarios!W120*Combined_Scenarios!X120</f>
        <v>12.7291258177865</v>
      </c>
      <c r="E120" s="5" t="n">
        <f aca="false">C120+D120</f>
        <v>30.5686652914707</v>
      </c>
      <c r="F120" s="5" t="n">
        <f aca="false">0.5*Combined_Scenarios!Y120</f>
        <v>1</v>
      </c>
      <c r="G120" s="5" t="n">
        <f aca="false">Combined_Scenarios!K120*F120</f>
        <v>187.5</v>
      </c>
      <c r="H120" s="5" t="n">
        <f aca="false">Combined_Scenarios!H120+IF(E120=0,0,G120/E120)</f>
        <v>28.1337319837879</v>
      </c>
      <c r="I120" s="5" t="n">
        <f aca="false">H120-Combined_Scenarios!H120</f>
        <v>6.13373198378787</v>
      </c>
      <c r="J120" s="5" t="n">
        <f aca="false">E120*I120</f>
        <v>187.5</v>
      </c>
      <c r="K120" s="5" t="n">
        <f aca="false">0.31*Combined_Scenarios!H120+17.8</f>
        <v>24.62</v>
      </c>
      <c r="L120" s="5" t="n">
        <f aca="false">H120-K120</f>
        <v>3.51373198378787</v>
      </c>
      <c r="M120" s="5" t="str">
        <f aca="false">IF(AND(H120&gt;=12,H120&lt;=35),"Within safe range","Outside safe range")</f>
        <v>Within safe range</v>
      </c>
      <c r="N120" s="5" t="n">
        <f aca="false">MAX(0,100-ABS(L120)*8)</f>
        <v>71.8901441296971</v>
      </c>
      <c r="O120" s="5" t="n">
        <f aca="false">MAX(-3,MIN(3,L120/3))</f>
        <v>1.17124399459596</v>
      </c>
      <c r="P120" s="5" t="n">
        <f aca="false">100-95*EXP(-(0.03353*O120^4+0.2179*O120^2))</f>
        <v>33.8543013721614</v>
      </c>
      <c r="Q120" s="5" t="n">
        <f aca="false">IF(H120&lt;18,E120*(18-H120),0)</f>
        <v>0</v>
      </c>
      <c r="R120" s="5" t="n">
        <f aca="false">IF(H120&gt;26,E120*(H120-26),0)</f>
        <v>65.2253388341171</v>
      </c>
      <c r="S120" s="5" t="n">
        <f aca="false">Q120+R120</f>
        <v>65.2253388341171</v>
      </c>
      <c r="T120" s="5" t="n">
        <f aca="false">MAX(0,100-S120/5)</f>
        <v>86.9549322331766</v>
      </c>
      <c r="U120" s="5" t="n">
        <f aca="false">(N120+T120)/2</f>
        <v>79.4225381814368</v>
      </c>
      <c r="V120" s="5" t="str">
        <f aca="false">IF(U120&gt;=60,"Recommended","Not Recommended")</f>
        <v>Recommended</v>
      </c>
      <c r="W120" s="5" t="str">
        <f aca="false">IF(Q120&gt;0,"Increase insulation thickness or reduce opening area to cut heat loss",IF(R120&gt;0,"Increase shading/ventilation or reduce solar-facing openings to cut heat gain","Design meets estimated comfort band without major changes"))</f>
        <v>Increase shading/ventilation or reduce solar-facing openings to cut heat gain</v>
      </c>
      <c r="X120" s="5" t="s">
        <v>555</v>
      </c>
    </row>
    <row r="121" customFormat="false" ht="15" hidden="false" customHeight="false" outlineLevel="0" collapsed="false">
      <c r="A121" s="5" t="str">
        <f aca="false">Combined_Scenarios!A121</f>
        <v>S120</v>
      </c>
      <c r="B121" s="5" t="n">
        <f aca="false">0.5+Combined_Scenarios!AA121*10</f>
        <v>0.889863547758285</v>
      </c>
      <c r="C121" s="5" t="n">
        <f aca="false">0.33*B121*Combined_Scenarios!Z121</f>
        <v>17.8395394736842</v>
      </c>
      <c r="D121" s="5" t="n">
        <f aca="false">Combined_Scenarios!W121*Combined_Scenarios!X121</f>
        <v>12.7291258177865</v>
      </c>
      <c r="E121" s="5" t="n">
        <f aca="false">C121+D121</f>
        <v>30.5686652914707</v>
      </c>
      <c r="F121" s="5" t="n">
        <f aca="false">0.5*Combined_Scenarios!Y121</f>
        <v>1</v>
      </c>
      <c r="G121" s="5" t="n">
        <f aca="false">Combined_Scenarios!K121*F121</f>
        <v>125</v>
      </c>
      <c r="H121" s="5" t="n">
        <f aca="false">Combined_Scenarios!H121+IF(E121=0,0,G121/E121)</f>
        <v>14.0891546558586</v>
      </c>
      <c r="I121" s="5" t="n">
        <f aca="false">H121-Combined_Scenarios!H121</f>
        <v>4.08915465585858</v>
      </c>
      <c r="J121" s="5" t="n">
        <f aca="false">E121*I121</f>
        <v>125</v>
      </c>
      <c r="K121" s="5" t="n">
        <f aca="false">0.31*Combined_Scenarios!H121+17.8</f>
        <v>20.9</v>
      </c>
      <c r="L121" s="5" t="n">
        <f aca="false">H121-K121</f>
        <v>-6.81084534414142</v>
      </c>
      <c r="M121" s="5" t="str">
        <f aca="false">IF(AND(H121&gt;=12,H121&lt;=35),"Within safe range","Outside safe range")</f>
        <v>Within safe range</v>
      </c>
      <c r="N121" s="5" t="n">
        <f aca="false">MAX(0,100-ABS(L121)*8)</f>
        <v>45.5132372468686</v>
      </c>
      <c r="O121" s="5" t="n">
        <f aca="false">MAX(-3,MIN(3,L121/3))</f>
        <v>-2.27028178138047</v>
      </c>
      <c r="P121" s="5" t="n">
        <f aca="false">100-95*EXP(-(0.03353*O121^4+0.2179*O121^2))</f>
        <v>87.319849539285</v>
      </c>
      <c r="Q121" s="5" t="n">
        <f aca="false">IF(H121&lt;18,E121*(18-H121),0)</f>
        <v>119.549322331766</v>
      </c>
      <c r="R121" s="5" t="n">
        <f aca="false">IF(H121&gt;26,E121*(H121-26),0)</f>
        <v>0</v>
      </c>
      <c r="S121" s="5" t="n">
        <f aca="false">Q121+R121</f>
        <v>119.549322331766</v>
      </c>
      <c r="T121" s="5" t="n">
        <f aca="false">MAX(0,100-S121/5)</f>
        <v>76.0901355336469</v>
      </c>
      <c r="U121" s="5" t="n">
        <f aca="false">(N121+T121)/2</f>
        <v>60.8016863902577</v>
      </c>
      <c r="V121" s="5" t="str">
        <f aca="false">IF(U121&gt;=60,"Recommended","Not Recommended")</f>
        <v>Recommended</v>
      </c>
      <c r="W121" s="5" t="str">
        <f aca="false">IF(Q121&gt;0,"Increase insulation thickness or reduce opening area to cut heat loss",IF(R121&gt;0,"Increase shading/ventilation or reduce solar-facing openings to cut heat gain","Design meets estimated comfort band without major changes"))</f>
        <v>Increase insulation thickness or reduce opening area to cut heat loss</v>
      </c>
      <c r="X121" s="5" t="s">
        <v>555</v>
      </c>
    </row>
    <row r="122" customFormat="false" ht="15" hidden="false" customHeight="false" outlineLevel="0" collapsed="false">
      <c r="A122" s="5" t="str">
        <f aca="false">Combined_Scenarios!A122</f>
        <v>S121</v>
      </c>
      <c r="B122" s="5" t="n">
        <f aca="false">0.5+Combined_Scenarios!AA122*10</f>
        <v>0.980769230769231</v>
      </c>
      <c r="C122" s="5" t="n">
        <f aca="false">0.33*B122*Combined_Scenarios!Z122</f>
        <v>9.51542307692308</v>
      </c>
      <c r="D122" s="5" t="n">
        <f aca="false">Combined_Scenarios!W122*Combined_Scenarios!X122</f>
        <v>90.1672862453531</v>
      </c>
      <c r="E122" s="5" t="n">
        <f aca="false">C122+D122</f>
        <v>99.6827093222762</v>
      </c>
      <c r="F122" s="5" t="n">
        <f aca="false">0.5*Combined_Scenarios!Y122</f>
        <v>0.875</v>
      </c>
      <c r="G122" s="5" t="n">
        <f aca="false">Combined_Scenarios!K122*F122</f>
        <v>164.0625</v>
      </c>
      <c r="H122" s="5" t="n">
        <f aca="false">Combined_Scenarios!H122+IF(E122=0,0,G122/E122)</f>
        <v>26.6458471194797</v>
      </c>
      <c r="I122" s="5" t="n">
        <f aca="false">H122-Combined_Scenarios!H122</f>
        <v>1.64584711947969</v>
      </c>
      <c r="J122" s="5" t="n">
        <f aca="false">E122*I122</f>
        <v>164.0625</v>
      </c>
      <c r="K122" s="5" t="n">
        <f aca="false">0.31*Combined_Scenarios!H122+17.8</f>
        <v>25.55</v>
      </c>
      <c r="L122" s="5" t="n">
        <f aca="false">H122-K122</f>
        <v>1.09584711947969</v>
      </c>
      <c r="M122" s="5" t="str">
        <f aca="false">IF(AND(H122&gt;=12,H122&lt;=35),"Within safe range","Outside safe range")</f>
        <v>Within safe range</v>
      </c>
      <c r="N122" s="5" t="n">
        <f aca="false">MAX(0,100-ABS(L122)*8)</f>
        <v>91.2332230441625</v>
      </c>
      <c r="O122" s="5" t="n">
        <f aca="false">MAX(-3,MIN(3,L122/3))</f>
        <v>0.365282373159898</v>
      </c>
      <c r="P122" s="5" t="n">
        <f aca="false">100-95*EXP(-(0.03353*O122^4+0.2179*O122^2))</f>
        <v>7.7773957332101</v>
      </c>
      <c r="Q122" s="5" t="n">
        <f aca="false">IF(H122&lt;18,E122*(18-H122),0)</f>
        <v>0</v>
      </c>
      <c r="R122" s="5" t="n">
        <f aca="false">IF(H122&gt;26,E122*(H122-26),0)</f>
        <v>64.3797906777237</v>
      </c>
      <c r="S122" s="5" t="n">
        <f aca="false">Q122+R122</f>
        <v>64.3797906777237</v>
      </c>
      <c r="T122" s="5" t="n">
        <f aca="false">MAX(0,100-S122/5)</f>
        <v>87.1240418644553</v>
      </c>
      <c r="U122" s="5" t="n">
        <f aca="false">(N122+T122)/2</f>
        <v>89.1786324543089</v>
      </c>
      <c r="V122" s="5" t="str">
        <f aca="false">IF(U122&gt;=60,"Recommended","Not Recommended")</f>
        <v>Recommended</v>
      </c>
      <c r="W122" s="5" t="str">
        <f aca="false">IF(Q122&gt;0,"Increase insulation thickness or reduce opening area to cut heat loss",IF(R122&gt;0,"Increase shading/ventilation or reduce solar-facing openings to cut heat gain","Design meets estimated comfort band without major changes"))</f>
        <v>Increase shading/ventilation or reduce solar-facing openings to cut heat gain</v>
      </c>
      <c r="X122" s="5" t="s">
        <v>555</v>
      </c>
    </row>
    <row r="123" customFormat="false" ht="15" hidden="false" customHeight="false" outlineLevel="0" collapsed="false">
      <c r="A123" s="5" t="str">
        <f aca="false">Combined_Scenarios!A123</f>
        <v>S122</v>
      </c>
      <c r="B123" s="5" t="n">
        <f aca="false">0.5+Combined_Scenarios!AA123*10</f>
        <v>0.980769230769231</v>
      </c>
      <c r="C123" s="5" t="n">
        <f aca="false">0.33*B123*Combined_Scenarios!Z123</f>
        <v>9.51542307692308</v>
      </c>
      <c r="D123" s="5" t="n">
        <f aca="false">Combined_Scenarios!W123*Combined_Scenarios!X123</f>
        <v>90.1672862453531</v>
      </c>
      <c r="E123" s="5" t="n">
        <f aca="false">C123+D123</f>
        <v>99.6827093222762</v>
      </c>
      <c r="F123" s="5" t="n">
        <f aca="false">0.5*Combined_Scenarios!Y123</f>
        <v>0.875</v>
      </c>
      <c r="G123" s="5" t="n">
        <f aca="false">Combined_Scenarios!K123*F123</f>
        <v>229.6875</v>
      </c>
      <c r="H123" s="5" t="n">
        <f aca="false">Combined_Scenarios!H123+IF(E123=0,0,G123/E123)</f>
        <v>34.3041859672716</v>
      </c>
      <c r="I123" s="5" t="n">
        <f aca="false">H123-Combined_Scenarios!H123</f>
        <v>2.30418596727157</v>
      </c>
      <c r="J123" s="5" t="n">
        <f aca="false">E123*I123</f>
        <v>229.6875</v>
      </c>
      <c r="K123" s="5" t="n">
        <f aca="false">0.31*Combined_Scenarios!H123+17.8</f>
        <v>27.72</v>
      </c>
      <c r="L123" s="5" t="n">
        <f aca="false">H123-K123</f>
        <v>6.58418596727157</v>
      </c>
      <c r="M123" s="5" t="str">
        <f aca="false">IF(AND(H123&gt;=12,H123&lt;=35),"Within safe range","Outside safe range")</f>
        <v>Within safe range</v>
      </c>
      <c r="N123" s="5" t="n">
        <f aca="false">MAX(0,100-ABS(L123)*8)</f>
        <v>47.3265122618274</v>
      </c>
      <c r="O123" s="5" t="n">
        <f aca="false">MAX(-3,MIN(3,L123/3))</f>
        <v>2.19472865575719</v>
      </c>
      <c r="P123" s="5" t="n">
        <f aca="false">100-95*EXP(-(0.03353*O123^4+0.2179*O123^2))</f>
        <v>84.7232896767583</v>
      </c>
      <c r="Q123" s="5" t="n">
        <f aca="false">IF(H123&lt;18,E123*(18-H123),0)</f>
        <v>0</v>
      </c>
      <c r="R123" s="5" t="n">
        <f aca="false">IF(H123&gt;26,E123*(H123-26),0)</f>
        <v>827.783755933657</v>
      </c>
      <c r="S123" s="5" t="n">
        <f aca="false">Q123+R123</f>
        <v>827.783755933657</v>
      </c>
      <c r="T123" s="5" t="n">
        <f aca="false">MAX(0,100-S123/5)</f>
        <v>0</v>
      </c>
      <c r="U123" s="5" t="n">
        <f aca="false">(N123+T123)/2</f>
        <v>23.6632561309137</v>
      </c>
      <c r="V123" s="5" t="str">
        <f aca="false">IF(U123&gt;=60,"Recommended","Not Recommended")</f>
        <v>Not Recommended</v>
      </c>
      <c r="W123" s="5" t="str">
        <f aca="false">IF(Q123&gt;0,"Increase insulation thickness or reduce opening area to cut heat loss",IF(R123&gt;0,"Increase shading/ventilation or reduce solar-facing openings to cut heat gain","Design meets estimated comfort band without major changes"))</f>
        <v>Increase shading/ventilation or reduce solar-facing openings to cut heat gain</v>
      </c>
      <c r="X123" s="5" t="s">
        <v>555</v>
      </c>
    </row>
    <row r="124" customFormat="false" ht="15" hidden="false" customHeight="false" outlineLevel="0" collapsed="false">
      <c r="A124" s="5" t="str">
        <f aca="false">Combined_Scenarios!A124</f>
        <v>S123</v>
      </c>
      <c r="B124" s="5" t="n">
        <f aca="false">0.5+Combined_Scenarios!AA124*10</f>
        <v>0.980769230769231</v>
      </c>
      <c r="C124" s="5" t="n">
        <f aca="false">0.33*B124*Combined_Scenarios!Z124</f>
        <v>9.51542307692308</v>
      </c>
      <c r="D124" s="5" t="n">
        <f aca="false">Combined_Scenarios!W124*Combined_Scenarios!X124</f>
        <v>90.1672862453531</v>
      </c>
      <c r="E124" s="5" t="n">
        <f aca="false">C124+D124</f>
        <v>99.6827093222762</v>
      </c>
      <c r="F124" s="5" t="n">
        <f aca="false">0.5*Combined_Scenarios!Y124</f>
        <v>0.875</v>
      </c>
      <c r="G124" s="5" t="n">
        <f aca="false">Combined_Scenarios!K124*F124</f>
        <v>189.583333333333</v>
      </c>
      <c r="H124" s="5" t="n">
        <f aca="false">Combined_Scenarios!H124+IF(E124=0,0,G124/E124)</f>
        <v>32.9018677825099</v>
      </c>
      <c r="I124" s="5" t="n">
        <f aca="false">H124-Combined_Scenarios!H124</f>
        <v>1.90186778250987</v>
      </c>
      <c r="J124" s="5" t="n">
        <f aca="false">E124*I124</f>
        <v>189.583333333333</v>
      </c>
      <c r="K124" s="5" t="n">
        <f aca="false">0.31*Combined_Scenarios!H124+17.8</f>
        <v>27.41</v>
      </c>
      <c r="L124" s="5" t="n">
        <f aca="false">H124-K124</f>
        <v>5.49186778250987</v>
      </c>
      <c r="M124" s="5" t="str">
        <f aca="false">IF(AND(H124&gt;=12,H124&lt;=35),"Within safe range","Outside safe range")</f>
        <v>Within safe range</v>
      </c>
      <c r="N124" s="5" t="n">
        <f aca="false">MAX(0,100-ABS(L124)*8)</f>
        <v>56.0650577399211</v>
      </c>
      <c r="O124" s="5" t="n">
        <f aca="false">MAX(-3,MIN(3,L124/3))</f>
        <v>1.83062259416996</v>
      </c>
      <c r="P124" s="5" t="n">
        <f aca="false">100-95*EXP(-(0.03353*O124^4+0.2179*O124^2))</f>
        <v>68.5908385607093</v>
      </c>
      <c r="Q124" s="5" t="n">
        <f aca="false">IF(H124&lt;18,E124*(18-H124),0)</f>
        <v>0</v>
      </c>
      <c r="R124" s="5" t="n">
        <f aca="false">IF(H124&gt;26,E124*(H124-26),0)</f>
        <v>687.996879944714</v>
      </c>
      <c r="S124" s="5" t="n">
        <f aca="false">Q124+R124</f>
        <v>687.996879944714</v>
      </c>
      <c r="T124" s="5" t="n">
        <f aca="false">MAX(0,100-S124/5)</f>
        <v>0</v>
      </c>
      <c r="U124" s="5" t="n">
        <f aca="false">(N124+T124)/2</f>
        <v>28.0325288699605</v>
      </c>
      <c r="V124" s="5" t="str">
        <f aca="false">IF(U124&gt;=60,"Recommended","Not Recommended")</f>
        <v>Not Recommended</v>
      </c>
      <c r="W124" s="5" t="str">
        <f aca="false">IF(Q124&gt;0,"Increase insulation thickness or reduce opening area to cut heat loss",IF(R124&gt;0,"Increase shading/ventilation or reduce solar-facing openings to cut heat gain","Design meets estimated comfort band without major changes"))</f>
        <v>Increase shading/ventilation or reduce solar-facing openings to cut heat gain</v>
      </c>
      <c r="X124" s="5" t="s">
        <v>555</v>
      </c>
    </row>
    <row r="125" customFormat="false" ht="15" hidden="false" customHeight="false" outlineLevel="0" collapsed="false">
      <c r="A125" s="5" t="str">
        <f aca="false">Combined_Scenarios!A125</f>
        <v>S124</v>
      </c>
      <c r="B125" s="5" t="n">
        <f aca="false">0.5+Combined_Scenarios!AA125*10</f>
        <v>0.980769230769231</v>
      </c>
      <c r="C125" s="5" t="n">
        <f aca="false">0.33*B125*Combined_Scenarios!Z125</f>
        <v>9.51542307692308</v>
      </c>
      <c r="D125" s="5" t="n">
        <f aca="false">Combined_Scenarios!W125*Combined_Scenarios!X125</f>
        <v>90.1672862453531</v>
      </c>
      <c r="E125" s="5" t="n">
        <f aca="false">C125+D125</f>
        <v>99.6827093222762</v>
      </c>
      <c r="F125" s="5" t="n">
        <f aca="false">0.5*Combined_Scenarios!Y125</f>
        <v>0.875</v>
      </c>
      <c r="G125" s="5" t="n">
        <f aca="false">Combined_Scenarios!K125*F125</f>
        <v>189.583333333333</v>
      </c>
      <c r="H125" s="5" t="n">
        <f aca="false">Combined_Scenarios!H125+IF(E125=0,0,G125/E125)</f>
        <v>31.9018677825099</v>
      </c>
      <c r="I125" s="5" t="n">
        <f aca="false">H125-Combined_Scenarios!H125</f>
        <v>1.90186778250987</v>
      </c>
      <c r="J125" s="5" t="n">
        <f aca="false">E125*I125</f>
        <v>189.583333333333</v>
      </c>
      <c r="K125" s="5" t="n">
        <f aca="false">0.31*Combined_Scenarios!H125+17.8</f>
        <v>27.1</v>
      </c>
      <c r="L125" s="5" t="n">
        <f aca="false">H125-K125</f>
        <v>4.80186778250987</v>
      </c>
      <c r="M125" s="5" t="str">
        <f aca="false">IF(AND(H125&gt;=12,H125&lt;=35),"Within safe range","Outside safe range")</f>
        <v>Within safe range</v>
      </c>
      <c r="N125" s="5" t="n">
        <f aca="false">MAX(0,100-ABS(L125)*8)</f>
        <v>61.5850577399211</v>
      </c>
      <c r="O125" s="5" t="n">
        <f aca="false">MAX(-3,MIN(3,L125/3))</f>
        <v>1.60062259416996</v>
      </c>
      <c r="P125" s="5" t="n">
        <f aca="false">100-95*EXP(-(0.03353*O125^4+0.2179*O125^2))</f>
        <v>56.3791934294684</v>
      </c>
      <c r="Q125" s="5" t="n">
        <f aca="false">IF(H125&lt;18,E125*(18-H125),0)</f>
        <v>0</v>
      </c>
      <c r="R125" s="5" t="n">
        <f aca="false">IF(H125&gt;26,E125*(H125-26),0)</f>
        <v>588.314170622438</v>
      </c>
      <c r="S125" s="5" t="n">
        <f aca="false">Q125+R125</f>
        <v>588.314170622438</v>
      </c>
      <c r="T125" s="5" t="n">
        <f aca="false">MAX(0,100-S125/5)</f>
        <v>0</v>
      </c>
      <c r="U125" s="5" t="n">
        <f aca="false">(N125+T125)/2</f>
        <v>30.7925288699605</v>
      </c>
      <c r="V125" s="5" t="str">
        <f aca="false">IF(U125&gt;=60,"Recommended","Not Recommended")</f>
        <v>Not Recommended</v>
      </c>
      <c r="W125" s="5" t="str">
        <f aca="false">IF(Q125&gt;0,"Increase insulation thickness or reduce opening area to cut heat loss",IF(R125&gt;0,"Increase shading/ventilation or reduce solar-facing openings to cut heat gain","Design meets estimated comfort band without major changes"))</f>
        <v>Increase shading/ventilation or reduce solar-facing openings to cut heat gain</v>
      </c>
      <c r="X125" s="5" t="s">
        <v>555</v>
      </c>
    </row>
    <row r="126" customFormat="false" ht="15" hidden="false" customHeight="false" outlineLevel="0" collapsed="false">
      <c r="A126" s="5" t="str">
        <f aca="false">Combined_Scenarios!A126</f>
        <v>S125</v>
      </c>
      <c r="B126" s="5" t="n">
        <f aca="false">0.5+Combined_Scenarios!AA126*10</f>
        <v>0.980769230769231</v>
      </c>
      <c r="C126" s="5" t="n">
        <f aca="false">0.33*B126*Combined_Scenarios!Z126</f>
        <v>9.51542307692308</v>
      </c>
      <c r="D126" s="5" t="n">
        <f aca="false">Combined_Scenarios!W126*Combined_Scenarios!X126</f>
        <v>90.1672862453531</v>
      </c>
      <c r="E126" s="5" t="n">
        <f aca="false">C126+D126</f>
        <v>99.6827093222762</v>
      </c>
      <c r="F126" s="5" t="n">
        <f aca="false">0.5*Combined_Scenarios!Y126</f>
        <v>0.875</v>
      </c>
      <c r="G126" s="5" t="n">
        <f aca="false">Combined_Scenarios!K126*F126</f>
        <v>138.541666666667</v>
      </c>
      <c r="H126" s="5" t="n">
        <f aca="false">Combined_Scenarios!H126+IF(E126=0,0,G126/E126)</f>
        <v>27.3898264564495</v>
      </c>
      <c r="I126" s="5" t="n">
        <f aca="false">H126-Combined_Scenarios!H126</f>
        <v>1.38982645644952</v>
      </c>
      <c r="J126" s="5" t="n">
        <f aca="false">E126*I126</f>
        <v>138.541666666667</v>
      </c>
      <c r="K126" s="5" t="n">
        <f aca="false">0.31*Combined_Scenarios!H126+17.8</f>
        <v>25.86</v>
      </c>
      <c r="L126" s="5" t="n">
        <f aca="false">H126-K126</f>
        <v>1.52982645644952</v>
      </c>
      <c r="M126" s="5" t="str">
        <f aca="false">IF(AND(H126&gt;=12,H126&lt;=35),"Within safe range","Outside safe range")</f>
        <v>Within safe range</v>
      </c>
      <c r="N126" s="5" t="n">
        <f aca="false">MAX(0,100-ABS(L126)*8)</f>
        <v>87.7613883484038</v>
      </c>
      <c r="O126" s="5" t="n">
        <f aca="false">MAX(-3,MIN(3,L126/3))</f>
        <v>0.50994215214984</v>
      </c>
      <c r="P126" s="5" t="n">
        <f aca="false">100-95*EXP(-(0.03353*O126^4+0.2179*O126^2))</f>
        <v>10.4366124724293</v>
      </c>
      <c r="Q126" s="5" t="n">
        <f aca="false">IF(H126&lt;18,E126*(18-H126),0)</f>
        <v>0</v>
      </c>
      <c r="R126" s="5" t="n">
        <f aca="false">IF(H126&gt;26,E126*(H126-26),0)</f>
        <v>138.541666666667</v>
      </c>
      <c r="S126" s="5" t="n">
        <f aca="false">Q126+R126</f>
        <v>138.541666666667</v>
      </c>
      <c r="T126" s="5" t="n">
        <f aca="false">MAX(0,100-S126/5)</f>
        <v>72.2916666666667</v>
      </c>
      <c r="U126" s="5" t="n">
        <f aca="false">(N126+T126)/2</f>
        <v>80.0265275075353</v>
      </c>
      <c r="V126" s="5" t="str">
        <f aca="false">IF(U126&gt;=60,"Recommended","Not Recommended")</f>
        <v>Recommended</v>
      </c>
      <c r="W126" s="5" t="str">
        <f aca="false">IF(Q126&gt;0,"Increase insulation thickness or reduce opening area to cut heat loss",IF(R126&gt;0,"Increase shading/ventilation or reduce solar-facing openings to cut heat gain","Design meets estimated comfort band without major changes"))</f>
        <v>Increase shading/ventilation or reduce solar-facing openings to cut heat gain</v>
      </c>
      <c r="X126" s="5" t="s">
        <v>555</v>
      </c>
    </row>
    <row r="127" customFormat="false" ht="15" hidden="false" customHeight="false" outlineLevel="0" collapsed="false">
      <c r="A127" s="5" t="str">
        <f aca="false">Combined_Scenarios!A127</f>
        <v>S126</v>
      </c>
      <c r="B127" s="5" t="n">
        <f aca="false">0.5+Combined_Scenarios!AA127*10</f>
        <v>0.962962962962963</v>
      </c>
      <c r="C127" s="5" t="n">
        <f aca="false">0.33*B127*Combined_Scenarios!Z127</f>
        <v>19.0666666666667</v>
      </c>
      <c r="D127" s="5" t="n">
        <f aca="false">Combined_Scenarios!W127*Combined_Scenarios!X127</f>
        <v>134.014869888476</v>
      </c>
      <c r="E127" s="5" t="n">
        <f aca="false">C127+D127</f>
        <v>153.081536555142</v>
      </c>
      <c r="F127" s="5" t="n">
        <f aca="false">0.5*Combined_Scenarios!Y127</f>
        <v>1.25</v>
      </c>
      <c r="G127" s="5" t="n">
        <f aca="false">Combined_Scenarios!K127*F127</f>
        <v>234.375</v>
      </c>
      <c r="H127" s="5" t="n">
        <f aca="false">Combined_Scenarios!H127+IF(E127=0,0,G127/E127)</f>
        <v>26.5310468216758</v>
      </c>
      <c r="I127" s="5" t="n">
        <f aca="false">H127-Combined_Scenarios!H127</f>
        <v>1.53104682167581</v>
      </c>
      <c r="J127" s="5" t="n">
        <f aca="false">E127*I127</f>
        <v>234.375</v>
      </c>
      <c r="K127" s="5" t="n">
        <f aca="false">0.31*Combined_Scenarios!H127+17.8</f>
        <v>25.55</v>
      </c>
      <c r="L127" s="5" t="n">
        <f aca="false">H127-K127</f>
        <v>0.981046821675808</v>
      </c>
      <c r="M127" s="5" t="str">
        <f aca="false">IF(AND(H127&gt;=12,H127&lt;=35),"Within safe range","Outside safe range")</f>
        <v>Within safe range</v>
      </c>
      <c r="N127" s="5" t="n">
        <f aca="false">MAX(0,100-ABS(L127)*8)</f>
        <v>92.1516254265935</v>
      </c>
      <c r="O127" s="5" t="n">
        <f aca="false">MAX(-3,MIN(3,L127/3))</f>
        <v>0.327015607225269</v>
      </c>
      <c r="P127" s="5" t="n">
        <f aca="false">100-95*EXP(-(0.03353*O127^4+0.2179*O127^2))</f>
        <v>7.22368421044392</v>
      </c>
      <c r="Q127" s="5" t="n">
        <f aca="false">IF(H127&lt;18,E127*(18-H127),0)</f>
        <v>0</v>
      </c>
      <c r="R127" s="5" t="n">
        <f aca="false">IF(H127&gt;26,E127*(H127-26),0)</f>
        <v>81.2934634448575</v>
      </c>
      <c r="S127" s="5" t="n">
        <f aca="false">Q127+R127</f>
        <v>81.2934634448575</v>
      </c>
      <c r="T127" s="5" t="n">
        <f aca="false">MAX(0,100-S127/5)</f>
        <v>83.7413073110285</v>
      </c>
      <c r="U127" s="5" t="n">
        <f aca="false">(N127+T127)/2</f>
        <v>87.946466368811</v>
      </c>
      <c r="V127" s="5" t="str">
        <f aca="false">IF(U127&gt;=60,"Recommended","Not Recommended")</f>
        <v>Recommended</v>
      </c>
      <c r="W127" s="5" t="str">
        <f aca="false">IF(Q127&gt;0,"Increase insulation thickness or reduce opening area to cut heat loss",IF(R127&gt;0,"Increase shading/ventilation or reduce solar-facing openings to cut heat gain","Design meets estimated comfort band without major changes"))</f>
        <v>Increase shading/ventilation or reduce solar-facing openings to cut heat gain</v>
      </c>
      <c r="X127" s="5" t="s">
        <v>555</v>
      </c>
    </row>
    <row r="128" customFormat="false" ht="15" hidden="false" customHeight="false" outlineLevel="0" collapsed="false">
      <c r="A128" s="5" t="str">
        <f aca="false">Combined_Scenarios!A128</f>
        <v>S127</v>
      </c>
      <c r="B128" s="5" t="n">
        <f aca="false">0.5+Combined_Scenarios!AA128*10</f>
        <v>0.962962962962963</v>
      </c>
      <c r="C128" s="5" t="n">
        <f aca="false">0.33*B128*Combined_Scenarios!Z128</f>
        <v>19.0666666666667</v>
      </c>
      <c r="D128" s="5" t="n">
        <f aca="false">Combined_Scenarios!W128*Combined_Scenarios!X128</f>
        <v>134.014869888476</v>
      </c>
      <c r="E128" s="5" t="n">
        <f aca="false">C128+D128</f>
        <v>153.081536555142</v>
      </c>
      <c r="F128" s="5" t="n">
        <f aca="false">0.5*Combined_Scenarios!Y128</f>
        <v>1.25</v>
      </c>
      <c r="G128" s="5" t="n">
        <f aca="false">Combined_Scenarios!K128*F128</f>
        <v>328.125</v>
      </c>
      <c r="H128" s="5" t="n">
        <f aca="false">Combined_Scenarios!H128+IF(E128=0,0,G128/E128)</f>
        <v>34.1434655503461</v>
      </c>
      <c r="I128" s="5" t="n">
        <f aca="false">H128-Combined_Scenarios!H128</f>
        <v>2.14346555034614</v>
      </c>
      <c r="J128" s="5" t="n">
        <f aca="false">E128*I128</f>
        <v>328.125000000001</v>
      </c>
      <c r="K128" s="5" t="n">
        <f aca="false">0.31*Combined_Scenarios!H128+17.8</f>
        <v>27.72</v>
      </c>
      <c r="L128" s="5" t="n">
        <f aca="false">H128-K128</f>
        <v>6.42346555034614</v>
      </c>
      <c r="M128" s="5" t="str">
        <f aca="false">IF(AND(H128&gt;=12,H128&lt;=35),"Within safe range","Outside safe range")</f>
        <v>Within safe range</v>
      </c>
      <c r="N128" s="5" t="n">
        <f aca="false">MAX(0,100-ABS(L128)*8)</f>
        <v>48.6122755972309</v>
      </c>
      <c r="O128" s="5" t="n">
        <f aca="false">MAX(-3,MIN(3,L128/3))</f>
        <v>2.14115518344871</v>
      </c>
      <c r="P128" s="5" t="n">
        <f aca="false">100-95*EXP(-(0.03353*O128^4+0.2179*O128^2))</f>
        <v>82.7092971275386</v>
      </c>
      <c r="Q128" s="5" t="n">
        <f aca="false">IF(H128&lt;18,E128*(18-H128),0)</f>
        <v>0</v>
      </c>
      <c r="R128" s="5" t="n">
        <f aca="false">IF(H128&gt;26,E128*(H128-26),0)</f>
        <v>1246.61421933086</v>
      </c>
      <c r="S128" s="5" t="n">
        <f aca="false">Q128+R128</f>
        <v>1246.61421933086</v>
      </c>
      <c r="T128" s="5" t="n">
        <f aca="false">MAX(0,100-S128/5)</f>
        <v>0</v>
      </c>
      <c r="U128" s="5" t="n">
        <f aca="false">(N128+T128)/2</f>
        <v>24.3061377986155</v>
      </c>
      <c r="V128" s="5" t="str">
        <f aca="false">IF(U128&gt;=60,"Recommended","Not Recommended")</f>
        <v>Not Recommended</v>
      </c>
      <c r="W128" s="5" t="str">
        <f aca="false">IF(Q128&gt;0,"Increase insulation thickness or reduce opening area to cut heat loss",IF(R128&gt;0,"Increase shading/ventilation or reduce solar-facing openings to cut heat gain","Design meets estimated comfort band without major changes"))</f>
        <v>Increase shading/ventilation or reduce solar-facing openings to cut heat gain</v>
      </c>
      <c r="X128" s="5" t="s">
        <v>555</v>
      </c>
    </row>
    <row r="129" customFormat="false" ht="15" hidden="false" customHeight="false" outlineLevel="0" collapsed="false">
      <c r="A129" s="5" t="str">
        <f aca="false">Combined_Scenarios!A129</f>
        <v>S128</v>
      </c>
      <c r="B129" s="5" t="n">
        <f aca="false">0.5+Combined_Scenarios!AA129*10</f>
        <v>0.962962962962963</v>
      </c>
      <c r="C129" s="5" t="n">
        <f aca="false">0.33*B129*Combined_Scenarios!Z129</f>
        <v>19.0666666666667</v>
      </c>
      <c r="D129" s="5" t="n">
        <f aca="false">Combined_Scenarios!W129*Combined_Scenarios!X129</f>
        <v>134.014869888476</v>
      </c>
      <c r="E129" s="5" t="n">
        <f aca="false">C129+D129</f>
        <v>153.081536555142</v>
      </c>
      <c r="F129" s="5" t="n">
        <f aca="false">0.5*Combined_Scenarios!Y129</f>
        <v>1.25</v>
      </c>
      <c r="G129" s="5" t="n">
        <f aca="false">Combined_Scenarios!K129*F129</f>
        <v>270.833333333333</v>
      </c>
      <c r="H129" s="5" t="n">
        <f aca="false">Combined_Scenarios!H129+IF(E129=0,0,G129/E129)</f>
        <v>32.7692096606032</v>
      </c>
      <c r="I129" s="5" t="n">
        <f aca="false">H129-Combined_Scenarios!H129</f>
        <v>1.76920966060316</v>
      </c>
      <c r="J129" s="5" t="n">
        <f aca="false">E129*I129</f>
        <v>270.833333333334</v>
      </c>
      <c r="K129" s="5" t="n">
        <f aca="false">0.31*Combined_Scenarios!H129+17.8</f>
        <v>27.41</v>
      </c>
      <c r="L129" s="5" t="n">
        <f aca="false">H129-K129</f>
        <v>5.35920966060316</v>
      </c>
      <c r="M129" s="5" t="str">
        <f aca="false">IF(AND(H129&gt;=12,H129&lt;=35),"Within safe range","Outside safe range")</f>
        <v>Within safe range</v>
      </c>
      <c r="N129" s="5" t="n">
        <f aca="false">MAX(0,100-ABS(L129)*8)</f>
        <v>57.1263227151747</v>
      </c>
      <c r="O129" s="5" t="n">
        <f aca="false">MAX(-3,MIN(3,L129/3))</f>
        <v>1.78640322020105</v>
      </c>
      <c r="P129" s="5" t="n">
        <f aca="false">100-95*EXP(-(0.03353*O129^4+0.2179*O129^2))</f>
        <v>66.315517370144</v>
      </c>
      <c r="Q129" s="5" t="n">
        <f aca="false">IF(H129&lt;18,E129*(18-H129),0)</f>
        <v>0</v>
      </c>
      <c r="R129" s="5" t="n">
        <f aca="false">IF(H129&gt;26,E129*(H129-26),0)</f>
        <v>1036.24101610905</v>
      </c>
      <c r="S129" s="5" t="n">
        <f aca="false">Q129+R129</f>
        <v>1036.24101610905</v>
      </c>
      <c r="T129" s="5" t="n">
        <f aca="false">MAX(0,100-S129/5)</f>
        <v>0</v>
      </c>
      <c r="U129" s="5" t="n">
        <f aca="false">(N129+T129)/2</f>
        <v>28.5631613575874</v>
      </c>
      <c r="V129" s="5" t="str">
        <f aca="false">IF(U129&gt;=60,"Recommended","Not Recommended")</f>
        <v>Not Recommended</v>
      </c>
      <c r="W129" s="5" t="str">
        <f aca="false">IF(Q129&gt;0,"Increase insulation thickness or reduce opening area to cut heat loss",IF(R129&gt;0,"Increase shading/ventilation or reduce solar-facing openings to cut heat gain","Design meets estimated comfort band without major changes"))</f>
        <v>Increase shading/ventilation or reduce solar-facing openings to cut heat gain</v>
      </c>
      <c r="X129" s="5" t="s">
        <v>555</v>
      </c>
    </row>
    <row r="130" customFormat="false" ht="15" hidden="false" customHeight="false" outlineLevel="0" collapsed="false">
      <c r="A130" s="5" t="str">
        <f aca="false">Combined_Scenarios!A130</f>
        <v>S129</v>
      </c>
      <c r="B130" s="5" t="n">
        <f aca="false">0.5+Combined_Scenarios!AA130*10</f>
        <v>0.962962962962963</v>
      </c>
      <c r="C130" s="5" t="n">
        <f aca="false">0.33*B130*Combined_Scenarios!Z130</f>
        <v>19.0666666666667</v>
      </c>
      <c r="D130" s="5" t="n">
        <f aca="false">Combined_Scenarios!W130*Combined_Scenarios!X130</f>
        <v>134.014869888476</v>
      </c>
      <c r="E130" s="5" t="n">
        <f aca="false">C130+D130</f>
        <v>153.081536555142</v>
      </c>
      <c r="F130" s="5" t="n">
        <f aca="false">0.5*Combined_Scenarios!Y130</f>
        <v>1.25</v>
      </c>
      <c r="G130" s="5" t="n">
        <f aca="false">Combined_Scenarios!K130*F130</f>
        <v>270.833333333333</v>
      </c>
      <c r="H130" s="5" t="n">
        <f aca="false">Combined_Scenarios!H130+IF(E130=0,0,G130/E130)</f>
        <v>31.7692096606032</v>
      </c>
      <c r="I130" s="5" t="n">
        <f aca="false">H130-Combined_Scenarios!H130</f>
        <v>1.76920966060316</v>
      </c>
      <c r="J130" s="5" t="n">
        <f aca="false">E130*I130</f>
        <v>270.833333333333</v>
      </c>
      <c r="K130" s="5" t="n">
        <f aca="false">0.31*Combined_Scenarios!H130+17.8</f>
        <v>27.1</v>
      </c>
      <c r="L130" s="5" t="n">
        <f aca="false">H130-K130</f>
        <v>4.66920966060316</v>
      </c>
      <c r="M130" s="5" t="str">
        <f aca="false">IF(AND(H130&gt;=12,H130&lt;=35),"Within safe range","Outside safe range")</f>
        <v>Within safe range</v>
      </c>
      <c r="N130" s="5" t="n">
        <f aca="false">MAX(0,100-ABS(L130)*8)</f>
        <v>62.6463227151748</v>
      </c>
      <c r="O130" s="5" t="n">
        <f aca="false">MAX(-3,MIN(3,L130/3))</f>
        <v>1.55640322020105</v>
      </c>
      <c r="P130" s="5" t="n">
        <f aca="false">100-95*EXP(-(0.03353*O130^4+0.2179*O130^2))</f>
        <v>53.9704035242348</v>
      </c>
      <c r="Q130" s="5" t="n">
        <f aca="false">IF(H130&lt;18,E130*(18-H130),0)</f>
        <v>0</v>
      </c>
      <c r="R130" s="5" t="n">
        <f aca="false">IF(H130&gt;26,E130*(H130-26),0)</f>
        <v>883.159479553903</v>
      </c>
      <c r="S130" s="5" t="n">
        <f aca="false">Q130+R130</f>
        <v>883.159479553903</v>
      </c>
      <c r="T130" s="5" t="n">
        <f aca="false">MAX(0,100-S130/5)</f>
        <v>0</v>
      </c>
      <c r="U130" s="5" t="n">
        <f aca="false">(N130+T130)/2</f>
        <v>31.3231613575874</v>
      </c>
      <c r="V130" s="5" t="str">
        <f aca="false">IF(U130&gt;=60,"Recommended","Not Recommended")</f>
        <v>Not Recommended</v>
      </c>
      <c r="W130" s="5" t="str">
        <f aca="false">IF(Q130&gt;0,"Increase insulation thickness or reduce opening area to cut heat loss",IF(R130&gt;0,"Increase shading/ventilation or reduce solar-facing openings to cut heat gain","Design meets estimated comfort band without major changes"))</f>
        <v>Increase shading/ventilation or reduce solar-facing openings to cut heat gain</v>
      </c>
      <c r="X130" s="5" t="s">
        <v>555</v>
      </c>
    </row>
    <row r="131" customFormat="false" ht="15" hidden="false" customHeight="false" outlineLevel="0" collapsed="false">
      <c r="A131" s="5" t="str">
        <f aca="false">Combined_Scenarios!A131</f>
        <v>S130</v>
      </c>
      <c r="B131" s="5" t="n">
        <f aca="false">0.5+Combined_Scenarios!AA131*10</f>
        <v>0.962962962962963</v>
      </c>
      <c r="C131" s="5" t="n">
        <f aca="false">0.33*B131*Combined_Scenarios!Z131</f>
        <v>19.0666666666667</v>
      </c>
      <c r="D131" s="5" t="n">
        <f aca="false">Combined_Scenarios!W131*Combined_Scenarios!X131</f>
        <v>134.014869888476</v>
      </c>
      <c r="E131" s="5" t="n">
        <f aca="false">C131+D131</f>
        <v>153.081536555142</v>
      </c>
      <c r="F131" s="5" t="n">
        <f aca="false">0.5*Combined_Scenarios!Y131</f>
        <v>1.25</v>
      </c>
      <c r="G131" s="5" t="n">
        <f aca="false">Combined_Scenarios!K131*F131</f>
        <v>197.916666666667</v>
      </c>
      <c r="H131" s="5" t="n">
        <f aca="false">Combined_Scenarios!H131+IF(E131=0,0,G131/E131)</f>
        <v>27.2928839827485</v>
      </c>
      <c r="I131" s="5" t="n">
        <f aca="false">H131-Combined_Scenarios!H131</f>
        <v>1.29288398274846</v>
      </c>
      <c r="J131" s="5" t="n">
        <f aca="false">E131*I131</f>
        <v>197.916666666667</v>
      </c>
      <c r="K131" s="5" t="n">
        <f aca="false">0.31*Combined_Scenarios!H131+17.8</f>
        <v>25.86</v>
      </c>
      <c r="L131" s="5" t="n">
        <f aca="false">H131-K131</f>
        <v>1.43288398274846</v>
      </c>
      <c r="M131" s="5" t="str">
        <f aca="false">IF(AND(H131&gt;=12,H131&lt;=35),"Within safe range","Outside safe range")</f>
        <v>Within safe range</v>
      </c>
      <c r="N131" s="5" t="n">
        <f aca="false">MAX(0,100-ABS(L131)*8)</f>
        <v>88.5369281380123</v>
      </c>
      <c r="O131" s="5" t="n">
        <f aca="false">MAX(-3,MIN(3,L131/3))</f>
        <v>0.477627994249487</v>
      </c>
      <c r="P131" s="5" t="n">
        <f aca="false">100-95*EXP(-(0.03353*O131^4+0.2179*O131^2))</f>
        <v>9.76451958469239</v>
      </c>
      <c r="Q131" s="5" t="n">
        <f aca="false">IF(H131&lt;18,E131*(18-H131),0)</f>
        <v>0</v>
      </c>
      <c r="R131" s="5" t="n">
        <f aca="false">IF(H131&gt;26,E131*(H131-26),0)</f>
        <v>197.916666666667</v>
      </c>
      <c r="S131" s="5" t="n">
        <f aca="false">Q131+R131</f>
        <v>197.916666666667</v>
      </c>
      <c r="T131" s="5" t="n">
        <f aca="false">MAX(0,100-S131/5)</f>
        <v>60.4166666666667</v>
      </c>
      <c r="U131" s="5" t="n">
        <f aca="false">(N131+T131)/2</f>
        <v>74.4767974023395</v>
      </c>
      <c r="V131" s="5" t="str">
        <f aca="false">IF(U131&gt;=60,"Recommended","Not Recommended")</f>
        <v>Recommended</v>
      </c>
      <c r="W131" s="5" t="str">
        <f aca="false">IF(Q131&gt;0,"Increase insulation thickness or reduce opening area to cut heat loss",IF(R131&gt;0,"Increase shading/ventilation or reduce solar-facing openings to cut heat gain","Design meets estimated comfort band without major changes"))</f>
        <v>Increase shading/ventilation or reduce solar-facing openings to cut heat gain</v>
      </c>
      <c r="X131" s="5" t="s">
        <v>555</v>
      </c>
    </row>
    <row r="132" customFormat="false" ht="15" hidden="false" customHeight="false" outlineLevel="0" collapsed="false">
      <c r="A132" s="5" t="str">
        <f aca="false">Combined_Scenarios!A132</f>
        <v>S131</v>
      </c>
      <c r="B132" s="5" t="n">
        <f aca="false">0.5+Combined_Scenarios!AA132*10</f>
        <v>1.17307692307692</v>
      </c>
      <c r="C132" s="5" t="n">
        <f aca="false">0.33*B132*Combined_Scenarios!Z132</f>
        <v>11.3811923076923</v>
      </c>
      <c r="D132" s="5" t="n">
        <f aca="false">Combined_Scenarios!W132*Combined_Scenarios!X132</f>
        <v>88.3457249070632</v>
      </c>
      <c r="E132" s="5" t="n">
        <f aca="false">C132+D132</f>
        <v>99.7269172147555</v>
      </c>
      <c r="F132" s="5" t="n">
        <f aca="false">0.5*Combined_Scenarios!Y132</f>
        <v>1.225</v>
      </c>
      <c r="G132" s="5" t="n">
        <f aca="false">Combined_Scenarios!K132*F132</f>
        <v>229.6875</v>
      </c>
      <c r="H132" s="5" t="n">
        <f aca="false">Combined_Scenarios!H132+IF(E132=0,0,G132/E132)</f>
        <v>27.3031645458907</v>
      </c>
      <c r="I132" s="5" t="n">
        <f aca="false">H132-Combined_Scenarios!H132</f>
        <v>2.30316454589068</v>
      </c>
      <c r="J132" s="5" t="n">
        <f aca="false">E132*I132</f>
        <v>229.6875</v>
      </c>
      <c r="K132" s="5" t="n">
        <f aca="false">0.31*Combined_Scenarios!H132+17.8</f>
        <v>25.55</v>
      </c>
      <c r="L132" s="5" t="n">
        <f aca="false">H132-K132</f>
        <v>1.75316454589068</v>
      </c>
      <c r="M132" s="5" t="str">
        <f aca="false">IF(AND(H132&gt;=12,H132&lt;=35),"Within safe range","Outside safe range")</f>
        <v>Within safe range</v>
      </c>
      <c r="N132" s="5" t="n">
        <f aca="false">MAX(0,100-ABS(L132)*8)</f>
        <v>85.9746836328745</v>
      </c>
      <c r="O132" s="5" t="n">
        <f aca="false">MAX(-3,MIN(3,L132/3))</f>
        <v>0.584388181963561</v>
      </c>
      <c r="P132" s="5" t="n">
        <f aca="false">100-95*EXP(-(0.03353*O132^4+0.2179*O132^2))</f>
        <v>12.1569764236567</v>
      </c>
      <c r="Q132" s="5" t="n">
        <f aca="false">IF(H132&lt;18,E132*(18-H132),0)</f>
        <v>0</v>
      </c>
      <c r="R132" s="5" t="n">
        <f aca="false">IF(H132&gt;26,E132*(H132-26),0)</f>
        <v>129.960582785245</v>
      </c>
      <c r="S132" s="5" t="n">
        <f aca="false">Q132+R132</f>
        <v>129.960582785245</v>
      </c>
      <c r="T132" s="5" t="n">
        <f aca="false">MAX(0,100-S132/5)</f>
        <v>74.0078834429511</v>
      </c>
      <c r="U132" s="5" t="n">
        <f aca="false">(N132+T132)/2</f>
        <v>79.9912835379128</v>
      </c>
      <c r="V132" s="5" t="str">
        <f aca="false">IF(U132&gt;=60,"Recommended","Not Recommended")</f>
        <v>Recommended</v>
      </c>
      <c r="W132" s="5" t="str">
        <f aca="false">IF(Q132&gt;0,"Increase insulation thickness or reduce opening area to cut heat loss",IF(R132&gt;0,"Increase shading/ventilation or reduce solar-facing openings to cut heat gain","Design meets estimated comfort band without major changes"))</f>
        <v>Increase shading/ventilation or reduce solar-facing openings to cut heat gain</v>
      </c>
      <c r="X132" s="5" t="s">
        <v>555</v>
      </c>
    </row>
    <row r="133" customFormat="false" ht="15" hidden="false" customHeight="false" outlineLevel="0" collapsed="false">
      <c r="A133" s="5" t="str">
        <f aca="false">Combined_Scenarios!A133</f>
        <v>S132</v>
      </c>
      <c r="B133" s="5" t="n">
        <f aca="false">0.5+Combined_Scenarios!AA133*10</f>
        <v>1.17307692307692</v>
      </c>
      <c r="C133" s="5" t="n">
        <f aca="false">0.33*B133*Combined_Scenarios!Z133</f>
        <v>11.3811923076923</v>
      </c>
      <c r="D133" s="5" t="n">
        <f aca="false">Combined_Scenarios!W133*Combined_Scenarios!X133</f>
        <v>88.3457249070632</v>
      </c>
      <c r="E133" s="5" t="n">
        <f aca="false">C133+D133</f>
        <v>99.7269172147555</v>
      </c>
      <c r="F133" s="5" t="n">
        <f aca="false">0.5*Combined_Scenarios!Y133</f>
        <v>1.225</v>
      </c>
      <c r="G133" s="5" t="n">
        <f aca="false">Combined_Scenarios!K133*F133</f>
        <v>321.5625</v>
      </c>
      <c r="H133" s="5" t="n">
        <f aca="false">Combined_Scenarios!H133+IF(E133=0,0,G133/E133)</f>
        <v>35.224430364247</v>
      </c>
      <c r="I133" s="5" t="n">
        <f aca="false">H133-Combined_Scenarios!H133</f>
        <v>3.22443036424696</v>
      </c>
      <c r="J133" s="5" t="n">
        <f aca="false">E133*I133</f>
        <v>321.5625</v>
      </c>
      <c r="K133" s="5" t="n">
        <f aca="false">0.31*Combined_Scenarios!H133+17.8</f>
        <v>27.72</v>
      </c>
      <c r="L133" s="5" t="n">
        <f aca="false">H133-K133</f>
        <v>7.50443036424696</v>
      </c>
      <c r="M133" s="5" t="str">
        <f aca="false">IF(AND(H133&gt;=12,H133&lt;=35),"Within safe range","Outside safe range")</f>
        <v>Outside safe range</v>
      </c>
      <c r="N133" s="5" t="n">
        <f aca="false">MAX(0,100-ABS(L133)*8)</f>
        <v>39.9645570860243</v>
      </c>
      <c r="O133" s="5" t="n">
        <f aca="false">MAX(-3,MIN(3,L133/3))</f>
        <v>2.50147678808232</v>
      </c>
      <c r="P133" s="5" t="n">
        <f aca="false">100-95*EXP(-(0.03353*O133^4+0.2179*O133^2))</f>
        <v>93.4626669390959</v>
      </c>
      <c r="Q133" s="5" t="n">
        <f aca="false">IF(H133&lt;18,E133*(18-H133),0)</f>
        <v>0</v>
      </c>
      <c r="R133" s="5" t="n">
        <f aca="false">IF(H133&gt;26,E133*(H133-26),0)</f>
        <v>919.924003288533</v>
      </c>
      <c r="S133" s="5" t="n">
        <f aca="false">Q133+R133</f>
        <v>919.924003288533</v>
      </c>
      <c r="T133" s="5" t="n">
        <f aca="false">MAX(0,100-S133/5)</f>
        <v>0</v>
      </c>
      <c r="U133" s="5" t="n">
        <f aca="false">(N133+T133)/2</f>
        <v>19.9822785430122</v>
      </c>
      <c r="V133" s="5" t="str">
        <f aca="false">IF(U133&gt;=60,"Recommended","Not Recommended")</f>
        <v>Not Recommended</v>
      </c>
      <c r="W133" s="5" t="str">
        <f aca="false">IF(Q133&gt;0,"Increase insulation thickness or reduce opening area to cut heat loss",IF(R133&gt;0,"Increase shading/ventilation or reduce solar-facing openings to cut heat gain","Design meets estimated comfort band without major changes"))</f>
        <v>Increase shading/ventilation or reduce solar-facing openings to cut heat gain</v>
      </c>
      <c r="X133" s="5" t="s">
        <v>555</v>
      </c>
    </row>
    <row r="134" customFormat="false" ht="15" hidden="false" customHeight="false" outlineLevel="0" collapsed="false">
      <c r="A134" s="5" t="str">
        <f aca="false">Combined_Scenarios!A134</f>
        <v>S133</v>
      </c>
      <c r="B134" s="5" t="n">
        <f aca="false">0.5+Combined_Scenarios!AA134*10</f>
        <v>1.17307692307692</v>
      </c>
      <c r="C134" s="5" t="n">
        <f aca="false">0.33*B134*Combined_Scenarios!Z134</f>
        <v>11.3811923076923</v>
      </c>
      <c r="D134" s="5" t="n">
        <f aca="false">Combined_Scenarios!W134*Combined_Scenarios!X134</f>
        <v>88.3457249070632</v>
      </c>
      <c r="E134" s="5" t="n">
        <f aca="false">C134+D134</f>
        <v>99.7269172147555</v>
      </c>
      <c r="F134" s="5" t="n">
        <f aca="false">0.5*Combined_Scenarios!Y134</f>
        <v>1.225</v>
      </c>
      <c r="G134" s="5" t="n">
        <f aca="false">Combined_Scenarios!K134*F134</f>
        <v>265.416666666667</v>
      </c>
      <c r="H134" s="5" t="n">
        <f aca="false">Combined_Scenarios!H134+IF(E134=0,0,G134/E134)</f>
        <v>33.6614345863626</v>
      </c>
      <c r="I134" s="5" t="n">
        <f aca="false">H134-Combined_Scenarios!H134</f>
        <v>2.66143458636257</v>
      </c>
      <c r="J134" s="5" t="n">
        <f aca="false">E134*I134</f>
        <v>265.416666666667</v>
      </c>
      <c r="K134" s="5" t="n">
        <f aca="false">0.31*Combined_Scenarios!H134+17.8</f>
        <v>27.41</v>
      </c>
      <c r="L134" s="5" t="n">
        <f aca="false">H134-K134</f>
        <v>6.25143458636257</v>
      </c>
      <c r="M134" s="5" t="str">
        <f aca="false">IF(AND(H134&gt;=12,H134&lt;=35),"Within safe range","Outside safe range")</f>
        <v>Within safe range</v>
      </c>
      <c r="N134" s="5" t="n">
        <f aca="false">MAX(0,100-ABS(L134)*8)</f>
        <v>49.9885233090995</v>
      </c>
      <c r="O134" s="5" t="n">
        <f aca="false">MAX(-3,MIN(3,L134/3))</f>
        <v>2.08381152878752</v>
      </c>
      <c r="P134" s="5" t="n">
        <f aca="false">100-95*EXP(-(0.03353*O134^4+0.2179*O134^2))</f>
        <v>80.4010203162648</v>
      </c>
      <c r="Q134" s="5" t="n">
        <f aca="false">IF(H134&lt;18,E134*(18-H134),0)</f>
        <v>0</v>
      </c>
      <c r="R134" s="5" t="n">
        <f aca="false">IF(H134&gt;26,E134*(H134-26),0)</f>
        <v>764.051252740444</v>
      </c>
      <c r="S134" s="5" t="n">
        <f aca="false">Q134+R134</f>
        <v>764.051252740444</v>
      </c>
      <c r="T134" s="5" t="n">
        <f aca="false">MAX(0,100-S134/5)</f>
        <v>0</v>
      </c>
      <c r="U134" s="5" t="n">
        <f aca="false">(N134+T134)/2</f>
        <v>24.9942616545497</v>
      </c>
      <c r="V134" s="5" t="str">
        <f aca="false">IF(U134&gt;=60,"Recommended","Not Recommended")</f>
        <v>Not Recommended</v>
      </c>
      <c r="W134" s="5" t="str">
        <f aca="false">IF(Q134&gt;0,"Increase insulation thickness or reduce opening area to cut heat loss",IF(R134&gt;0,"Increase shading/ventilation or reduce solar-facing openings to cut heat gain","Design meets estimated comfort band without major changes"))</f>
        <v>Increase shading/ventilation or reduce solar-facing openings to cut heat gain</v>
      </c>
      <c r="X134" s="5" t="s">
        <v>555</v>
      </c>
    </row>
    <row r="135" customFormat="false" ht="15" hidden="false" customHeight="false" outlineLevel="0" collapsed="false">
      <c r="A135" s="5" t="str">
        <f aca="false">Combined_Scenarios!A135</f>
        <v>S134</v>
      </c>
      <c r="B135" s="5" t="n">
        <f aca="false">0.5+Combined_Scenarios!AA135*10</f>
        <v>1.17307692307692</v>
      </c>
      <c r="C135" s="5" t="n">
        <f aca="false">0.33*B135*Combined_Scenarios!Z135</f>
        <v>11.3811923076923</v>
      </c>
      <c r="D135" s="5" t="n">
        <f aca="false">Combined_Scenarios!W135*Combined_Scenarios!X135</f>
        <v>88.3457249070632</v>
      </c>
      <c r="E135" s="5" t="n">
        <f aca="false">C135+D135</f>
        <v>99.7269172147555</v>
      </c>
      <c r="F135" s="5" t="n">
        <f aca="false">0.5*Combined_Scenarios!Y135</f>
        <v>1.225</v>
      </c>
      <c r="G135" s="5" t="n">
        <f aca="false">Combined_Scenarios!K135*F135</f>
        <v>265.416666666667</v>
      </c>
      <c r="H135" s="5" t="n">
        <f aca="false">Combined_Scenarios!H135+IF(E135=0,0,G135/E135)</f>
        <v>32.6614345863626</v>
      </c>
      <c r="I135" s="5" t="n">
        <f aca="false">H135-Combined_Scenarios!H135</f>
        <v>2.66143458636257</v>
      </c>
      <c r="J135" s="5" t="n">
        <f aca="false">E135*I135</f>
        <v>265.416666666667</v>
      </c>
      <c r="K135" s="5" t="n">
        <f aca="false">0.31*Combined_Scenarios!H135+17.8</f>
        <v>27.1</v>
      </c>
      <c r="L135" s="5" t="n">
        <f aca="false">H135-K135</f>
        <v>5.56143458636257</v>
      </c>
      <c r="M135" s="5" t="str">
        <f aca="false">IF(AND(H135&gt;=12,H135&lt;=35),"Within safe range","Outside safe range")</f>
        <v>Within safe range</v>
      </c>
      <c r="N135" s="5" t="n">
        <f aca="false">MAX(0,100-ABS(L135)*8)</f>
        <v>55.5085233090995</v>
      </c>
      <c r="O135" s="5" t="n">
        <f aca="false">MAX(-3,MIN(3,L135/3))</f>
        <v>1.85381152878752</v>
      </c>
      <c r="P135" s="5" t="n">
        <f aca="false">100-95*EXP(-(0.03353*O135^4+0.2179*O135^2))</f>
        <v>69.7638754998637</v>
      </c>
      <c r="Q135" s="5" t="n">
        <f aca="false">IF(H135&lt;18,E135*(18-H135),0)</f>
        <v>0</v>
      </c>
      <c r="R135" s="5" t="n">
        <f aca="false">IF(H135&gt;26,E135*(H135-26),0)</f>
        <v>664.324335525689</v>
      </c>
      <c r="S135" s="5" t="n">
        <f aca="false">Q135+R135</f>
        <v>664.324335525689</v>
      </c>
      <c r="T135" s="5" t="n">
        <f aca="false">MAX(0,100-S135/5)</f>
        <v>0</v>
      </c>
      <c r="U135" s="5" t="n">
        <f aca="false">(N135+T135)/2</f>
        <v>27.7542616545497</v>
      </c>
      <c r="V135" s="5" t="str">
        <f aca="false">IF(U135&gt;=60,"Recommended","Not Recommended")</f>
        <v>Not Recommended</v>
      </c>
      <c r="W135" s="5" t="str">
        <f aca="false">IF(Q135&gt;0,"Increase insulation thickness or reduce opening area to cut heat loss",IF(R135&gt;0,"Increase shading/ventilation or reduce solar-facing openings to cut heat gain","Design meets estimated comfort band without major changes"))</f>
        <v>Increase shading/ventilation or reduce solar-facing openings to cut heat gain</v>
      </c>
      <c r="X135" s="5" t="s">
        <v>555</v>
      </c>
    </row>
    <row r="136" customFormat="false" ht="15" hidden="false" customHeight="false" outlineLevel="0" collapsed="false">
      <c r="A136" s="5" t="str">
        <f aca="false">Combined_Scenarios!A136</f>
        <v>S135</v>
      </c>
      <c r="B136" s="5" t="n">
        <f aca="false">0.5+Combined_Scenarios!AA136*10</f>
        <v>1.17307692307692</v>
      </c>
      <c r="C136" s="5" t="n">
        <f aca="false">0.33*B136*Combined_Scenarios!Z136</f>
        <v>11.3811923076923</v>
      </c>
      <c r="D136" s="5" t="n">
        <f aca="false">Combined_Scenarios!W136*Combined_Scenarios!X136</f>
        <v>88.3457249070632</v>
      </c>
      <c r="E136" s="5" t="n">
        <f aca="false">C136+D136</f>
        <v>99.7269172147555</v>
      </c>
      <c r="F136" s="5" t="n">
        <f aca="false">0.5*Combined_Scenarios!Y136</f>
        <v>1.225</v>
      </c>
      <c r="G136" s="5" t="n">
        <f aca="false">Combined_Scenarios!K136*F136</f>
        <v>193.958333333333</v>
      </c>
      <c r="H136" s="5" t="n">
        <f aca="false">Combined_Scenarios!H136+IF(E136=0,0,G136/E136)</f>
        <v>27.9448945054188</v>
      </c>
      <c r="I136" s="5" t="n">
        <f aca="false">H136-Combined_Scenarios!H136</f>
        <v>1.9448945054188</v>
      </c>
      <c r="J136" s="5" t="n">
        <f aca="false">E136*I136</f>
        <v>193.958333333333</v>
      </c>
      <c r="K136" s="5" t="n">
        <f aca="false">0.31*Combined_Scenarios!H136+17.8</f>
        <v>25.86</v>
      </c>
      <c r="L136" s="5" t="n">
        <f aca="false">H136-K136</f>
        <v>2.0848945054188</v>
      </c>
      <c r="M136" s="5" t="str">
        <f aca="false">IF(AND(H136&gt;=12,H136&lt;=35),"Within safe range","Outside safe range")</f>
        <v>Within safe range</v>
      </c>
      <c r="N136" s="5" t="n">
        <f aca="false">MAX(0,100-ABS(L136)*8)</f>
        <v>83.3208439566496</v>
      </c>
      <c r="O136" s="5" t="n">
        <f aca="false">MAX(-3,MIN(3,L136/3))</f>
        <v>0.6949648351396</v>
      </c>
      <c r="P136" s="5" t="n">
        <f aca="false">100-95*EXP(-(0.03353*O136^4+0.2179*O136^2))</f>
        <v>15.1559396200315</v>
      </c>
      <c r="Q136" s="5" t="n">
        <f aca="false">IF(H136&lt;18,E136*(18-H136),0)</f>
        <v>0</v>
      </c>
      <c r="R136" s="5" t="n">
        <f aca="false">IF(H136&gt;26,E136*(H136-26),0)</f>
        <v>193.958333333333</v>
      </c>
      <c r="S136" s="5" t="n">
        <f aca="false">Q136+R136</f>
        <v>193.958333333333</v>
      </c>
      <c r="T136" s="5" t="n">
        <f aca="false">MAX(0,100-S136/5)</f>
        <v>61.2083333333334</v>
      </c>
      <c r="U136" s="5" t="n">
        <f aca="false">(N136+T136)/2</f>
        <v>72.2645886449915</v>
      </c>
      <c r="V136" s="5" t="str">
        <f aca="false">IF(U136&gt;=60,"Recommended","Not Recommended")</f>
        <v>Recommended</v>
      </c>
      <c r="W136" s="5" t="str">
        <f aca="false">IF(Q136&gt;0,"Increase insulation thickness or reduce opening area to cut heat loss",IF(R136&gt;0,"Increase shading/ventilation or reduce solar-facing openings to cut heat gain","Design meets estimated comfort band without major changes"))</f>
        <v>Increase shading/ventilation or reduce solar-facing openings to cut heat gain</v>
      </c>
      <c r="X136" s="5" t="s">
        <v>555</v>
      </c>
    </row>
    <row r="137" customFormat="false" ht="15" hidden="false" customHeight="false" outlineLevel="0" collapsed="false">
      <c r="A137" s="5" t="str">
        <f aca="false">Combined_Scenarios!A137</f>
        <v>S136</v>
      </c>
      <c r="B137" s="5" t="n">
        <f aca="false">0.5+Combined_Scenarios!AA137*10</f>
        <v>1.14814814814815</v>
      </c>
      <c r="C137" s="5" t="n">
        <f aca="false">0.33*B137*Combined_Scenarios!Z137</f>
        <v>22.7333333333333</v>
      </c>
      <c r="D137" s="5" t="n">
        <f aca="false">Combined_Scenarios!W137*Combined_Scenarios!X137</f>
        <v>131.412639405204</v>
      </c>
      <c r="E137" s="5" t="n">
        <f aca="false">C137+D137</f>
        <v>154.145972738538</v>
      </c>
      <c r="F137" s="5" t="n">
        <f aca="false">0.5*Combined_Scenarios!Y137</f>
        <v>1.75</v>
      </c>
      <c r="G137" s="5" t="n">
        <f aca="false">Combined_Scenarios!K137*F137</f>
        <v>328.125</v>
      </c>
      <c r="H137" s="5" t="n">
        <f aca="false">Combined_Scenarios!H137+IF(E137=0,0,G137/E137)</f>
        <v>27.1286641108462</v>
      </c>
      <c r="I137" s="5" t="n">
        <f aca="false">H137-Combined_Scenarios!H137</f>
        <v>2.12866411084619</v>
      </c>
      <c r="J137" s="5" t="n">
        <f aca="false">E137*I137</f>
        <v>328.125</v>
      </c>
      <c r="K137" s="5" t="n">
        <f aca="false">0.31*Combined_Scenarios!H137+17.8</f>
        <v>25.55</v>
      </c>
      <c r="L137" s="5" t="n">
        <f aca="false">H137-K137</f>
        <v>1.57866411084619</v>
      </c>
      <c r="M137" s="5" t="str">
        <f aca="false">IF(AND(H137&gt;=12,H137&lt;=35),"Within safe range","Outside safe range")</f>
        <v>Within safe range</v>
      </c>
      <c r="N137" s="5" t="n">
        <f aca="false">MAX(0,100-ABS(L137)*8)</f>
        <v>87.3706871132305</v>
      </c>
      <c r="O137" s="5" t="n">
        <f aca="false">MAX(-3,MIN(3,L137/3))</f>
        <v>0.526221370282062</v>
      </c>
      <c r="P137" s="5" t="n">
        <f aca="false">100-95*EXP(-(0.03353*O137^4+0.2179*O137^2))</f>
        <v>10.7922959920055</v>
      </c>
      <c r="Q137" s="5" t="n">
        <f aca="false">IF(H137&lt;18,E137*(18-H137),0)</f>
        <v>0</v>
      </c>
      <c r="R137" s="5" t="n">
        <f aca="false">IF(H137&gt;26,E137*(H137-26),0)</f>
        <v>173.979027261462</v>
      </c>
      <c r="S137" s="5" t="n">
        <f aca="false">Q137+R137</f>
        <v>173.979027261462</v>
      </c>
      <c r="T137" s="5" t="n">
        <f aca="false">MAX(0,100-S137/5)</f>
        <v>65.2041945477075</v>
      </c>
      <c r="U137" s="5" t="n">
        <f aca="false">(N137+T137)/2</f>
        <v>76.287440830469</v>
      </c>
      <c r="V137" s="5" t="str">
        <f aca="false">IF(U137&gt;=60,"Recommended","Not Recommended")</f>
        <v>Recommended</v>
      </c>
      <c r="W137" s="5" t="str">
        <f aca="false">IF(Q137&gt;0,"Increase insulation thickness or reduce opening area to cut heat loss",IF(R137&gt;0,"Increase shading/ventilation or reduce solar-facing openings to cut heat gain","Design meets estimated comfort band without major changes"))</f>
        <v>Increase shading/ventilation or reduce solar-facing openings to cut heat gain</v>
      </c>
      <c r="X137" s="5" t="s">
        <v>555</v>
      </c>
    </row>
    <row r="138" customFormat="false" ht="15" hidden="false" customHeight="false" outlineLevel="0" collapsed="false">
      <c r="A138" s="5" t="str">
        <f aca="false">Combined_Scenarios!A138</f>
        <v>S137</v>
      </c>
      <c r="B138" s="5" t="n">
        <f aca="false">0.5+Combined_Scenarios!AA138*10</f>
        <v>1.14814814814815</v>
      </c>
      <c r="C138" s="5" t="n">
        <f aca="false">0.33*B138*Combined_Scenarios!Z138</f>
        <v>22.7333333333333</v>
      </c>
      <c r="D138" s="5" t="n">
        <f aca="false">Combined_Scenarios!W138*Combined_Scenarios!X138</f>
        <v>131.412639405204</v>
      </c>
      <c r="E138" s="5" t="n">
        <f aca="false">C138+D138</f>
        <v>154.145972738538</v>
      </c>
      <c r="F138" s="5" t="n">
        <f aca="false">0.5*Combined_Scenarios!Y138</f>
        <v>1.75</v>
      </c>
      <c r="G138" s="5" t="n">
        <f aca="false">Combined_Scenarios!K138*F138</f>
        <v>459.375</v>
      </c>
      <c r="H138" s="5" t="n">
        <f aca="false">Combined_Scenarios!H138+IF(E138=0,0,G138/E138)</f>
        <v>34.9801297551847</v>
      </c>
      <c r="I138" s="5" t="n">
        <f aca="false">H138-Combined_Scenarios!H138</f>
        <v>2.98012975518466</v>
      </c>
      <c r="J138" s="5" t="n">
        <f aca="false">E138*I138</f>
        <v>459.375</v>
      </c>
      <c r="K138" s="5" t="n">
        <f aca="false">0.31*Combined_Scenarios!H138+17.8</f>
        <v>27.72</v>
      </c>
      <c r="L138" s="5" t="n">
        <f aca="false">H138-K138</f>
        <v>7.26012975518466</v>
      </c>
      <c r="M138" s="5" t="str">
        <f aca="false">IF(AND(H138&gt;=12,H138&lt;=35),"Within safe range","Outside safe range")</f>
        <v>Within safe range</v>
      </c>
      <c r="N138" s="5" t="n">
        <f aca="false">MAX(0,100-ABS(L138)*8)</f>
        <v>41.9189619585227</v>
      </c>
      <c r="O138" s="5" t="n">
        <f aca="false">MAX(-3,MIN(3,L138/3))</f>
        <v>2.42004325172822</v>
      </c>
      <c r="P138" s="5" t="n">
        <f aca="false">100-95*EXP(-(0.03353*O138^4+0.2179*O138^2))</f>
        <v>91.6049102960374</v>
      </c>
      <c r="Q138" s="5" t="n">
        <f aca="false">IF(H138&lt;18,E138*(18-H138),0)</f>
        <v>0</v>
      </c>
      <c r="R138" s="5" t="n">
        <f aca="false">IF(H138&gt;26,E138*(H138-26),0)</f>
        <v>1384.25083643123</v>
      </c>
      <c r="S138" s="5" t="n">
        <f aca="false">Q138+R138</f>
        <v>1384.25083643123</v>
      </c>
      <c r="T138" s="5" t="n">
        <f aca="false">MAX(0,100-S138/5)</f>
        <v>0</v>
      </c>
      <c r="U138" s="5" t="n">
        <f aca="false">(N138+T138)/2</f>
        <v>20.9594809792613</v>
      </c>
      <c r="V138" s="5" t="str">
        <f aca="false">IF(U138&gt;=60,"Recommended","Not Recommended")</f>
        <v>Not Recommended</v>
      </c>
      <c r="W138" s="5" t="str">
        <f aca="false">IF(Q138&gt;0,"Increase insulation thickness or reduce opening area to cut heat loss",IF(R138&gt;0,"Increase shading/ventilation or reduce solar-facing openings to cut heat gain","Design meets estimated comfort band without major changes"))</f>
        <v>Increase shading/ventilation or reduce solar-facing openings to cut heat gain</v>
      </c>
      <c r="X138" s="5" t="s">
        <v>555</v>
      </c>
    </row>
    <row r="139" customFormat="false" ht="15" hidden="false" customHeight="false" outlineLevel="0" collapsed="false">
      <c r="A139" s="5" t="str">
        <f aca="false">Combined_Scenarios!A139</f>
        <v>S138</v>
      </c>
      <c r="B139" s="5" t="n">
        <f aca="false">0.5+Combined_Scenarios!AA139*10</f>
        <v>1.14814814814815</v>
      </c>
      <c r="C139" s="5" t="n">
        <f aca="false">0.33*B139*Combined_Scenarios!Z139</f>
        <v>22.7333333333333</v>
      </c>
      <c r="D139" s="5" t="n">
        <f aca="false">Combined_Scenarios!W139*Combined_Scenarios!X139</f>
        <v>131.412639405204</v>
      </c>
      <c r="E139" s="5" t="n">
        <f aca="false">C139+D139</f>
        <v>154.145972738538</v>
      </c>
      <c r="F139" s="5" t="n">
        <f aca="false">0.5*Combined_Scenarios!Y139</f>
        <v>1.75</v>
      </c>
      <c r="G139" s="5" t="n">
        <f aca="false">Combined_Scenarios!K139*F139</f>
        <v>379.166666666667</v>
      </c>
      <c r="H139" s="5" t="n">
        <f aca="false">Combined_Scenarios!H139+IF(E139=0,0,G139/E139)</f>
        <v>33.4597896392</v>
      </c>
      <c r="I139" s="5" t="n">
        <f aca="false">H139-Combined_Scenarios!H139</f>
        <v>2.45978963920004</v>
      </c>
      <c r="J139" s="5" t="n">
        <f aca="false">E139*I139</f>
        <v>379.166666666667</v>
      </c>
      <c r="K139" s="5" t="n">
        <f aca="false">0.31*Combined_Scenarios!H139+17.8</f>
        <v>27.41</v>
      </c>
      <c r="L139" s="5" t="n">
        <f aca="false">H139-K139</f>
        <v>6.04978963920004</v>
      </c>
      <c r="M139" s="5" t="str">
        <f aca="false">IF(AND(H139&gt;=12,H139&lt;=35),"Within safe range","Outside safe range")</f>
        <v>Within safe range</v>
      </c>
      <c r="N139" s="5" t="n">
        <f aca="false">MAX(0,100-ABS(L139)*8)</f>
        <v>51.6016828863997</v>
      </c>
      <c r="O139" s="5" t="n">
        <f aca="false">MAX(-3,MIN(3,L139/3))</f>
        <v>2.01659654640001</v>
      </c>
      <c r="P139" s="5" t="n">
        <f aca="false">100-95*EXP(-(0.03353*O139^4+0.2179*O139^2))</f>
        <v>77.5061709619064</v>
      </c>
      <c r="Q139" s="5" t="n">
        <f aca="false">IF(H139&lt;18,E139*(18-H139),0)</f>
        <v>0</v>
      </c>
      <c r="R139" s="5" t="n">
        <f aca="false">IF(H139&gt;26,E139*(H139-26),0)</f>
        <v>1149.89653035936</v>
      </c>
      <c r="S139" s="5" t="n">
        <f aca="false">Q139+R139</f>
        <v>1149.89653035936</v>
      </c>
      <c r="T139" s="5" t="n">
        <f aca="false">MAX(0,100-S139/5)</f>
        <v>0</v>
      </c>
      <c r="U139" s="5" t="n">
        <f aca="false">(N139+T139)/2</f>
        <v>25.8008414431998</v>
      </c>
      <c r="V139" s="5" t="str">
        <f aca="false">IF(U139&gt;=60,"Recommended","Not Recommended")</f>
        <v>Not Recommended</v>
      </c>
      <c r="W139" s="5" t="str">
        <f aca="false">IF(Q139&gt;0,"Increase insulation thickness or reduce opening area to cut heat loss",IF(R139&gt;0,"Increase shading/ventilation or reduce solar-facing openings to cut heat gain","Design meets estimated comfort band without major changes"))</f>
        <v>Increase shading/ventilation or reduce solar-facing openings to cut heat gain</v>
      </c>
      <c r="X139" s="5" t="s">
        <v>555</v>
      </c>
    </row>
    <row r="140" customFormat="false" ht="15" hidden="false" customHeight="false" outlineLevel="0" collapsed="false">
      <c r="A140" s="5" t="str">
        <f aca="false">Combined_Scenarios!A140</f>
        <v>S139</v>
      </c>
      <c r="B140" s="5" t="n">
        <f aca="false">0.5+Combined_Scenarios!AA140*10</f>
        <v>1.14814814814815</v>
      </c>
      <c r="C140" s="5" t="n">
        <f aca="false">0.33*B140*Combined_Scenarios!Z140</f>
        <v>22.7333333333333</v>
      </c>
      <c r="D140" s="5" t="n">
        <f aca="false">Combined_Scenarios!W140*Combined_Scenarios!X140</f>
        <v>131.412639405204</v>
      </c>
      <c r="E140" s="5" t="n">
        <f aca="false">C140+D140</f>
        <v>154.145972738538</v>
      </c>
      <c r="F140" s="5" t="n">
        <f aca="false">0.5*Combined_Scenarios!Y140</f>
        <v>1.75</v>
      </c>
      <c r="G140" s="5" t="n">
        <f aca="false">Combined_Scenarios!K140*F140</f>
        <v>379.166666666667</v>
      </c>
      <c r="H140" s="5" t="n">
        <f aca="false">Combined_Scenarios!H140+IF(E140=0,0,G140/E140)</f>
        <v>32.4597896392</v>
      </c>
      <c r="I140" s="5" t="n">
        <f aca="false">H140-Combined_Scenarios!H140</f>
        <v>2.45978963920004</v>
      </c>
      <c r="J140" s="5" t="n">
        <f aca="false">E140*I140</f>
        <v>379.166666666667</v>
      </c>
      <c r="K140" s="5" t="n">
        <f aca="false">0.31*Combined_Scenarios!H140+17.8</f>
        <v>27.1</v>
      </c>
      <c r="L140" s="5" t="n">
        <f aca="false">H140-K140</f>
        <v>5.35978963920004</v>
      </c>
      <c r="M140" s="5" t="str">
        <f aca="false">IF(AND(H140&gt;=12,H140&lt;=35),"Within safe range","Outside safe range")</f>
        <v>Within safe range</v>
      </c>
      <c r="N140" s="5" t="n">
        <f aca="false">MAX(0,100-ABS(L140)*8)</f>
        <v>57.1216828863997</v>
      </c>
      <c r="O140" s="5" t="n">
        <f aca="false">MAX(-3,MIN(3,L140/3))</f>
        <v>1.78659654640001</v>
      </c>
      <c r="P140" s="5" t="n">
        <f aca="false">100-95*EXP(-(0.03353*O140^4+0.2179*O140^2))</f>
        <v>66.3255658329582</v>
      </c>
      <c r="Q140" s="5" t="n">
        <f aca="false">IF(H140&lt;18,E140*(18-H140),0)</f>
        <v>0</v>
      </c>
      <c r="R140" s="5" t="n">
        <f aca="false">IF(H140&gt;26,E140*(H140-26),0)</f>
        <v>995.750557620818</v>
      </c>
      <c r="S140" s="5" t="n">
        <f aca="false">Q140+R140</f>
        <v>995.750557620818</v>
      </c>
      <c r="T140" s="5" t="n">
        <f aca="false">MAX(0,100-S140/5)</f>
        <v>0</v>
      </c>
      <c r="U140" s="5" t="n">
        <f aca="false">(N140+T140)/2</f>
        <v>28.5608414431999</v>
      </c>
      <c r="V140" s="5" t="str">
        <f aca="false">IF(U140&gt;=60,"Recommended","Not Recommended")</f>
        <v>Not Recommended</v>
      </c>
      <c r="W140" s="5" t="str">
        <f aca="false">IF(Q140&gt;0,"Increase insulation thickness or reduce opening area to cut heat loss",IF(R140&gt;0,"Increase shading/ventilation or reduce solar-facing openings to cut heat gain","Design meets estimated comfort band without major changes"))</f>
        <v>Increase shading/ventilation or reduce solar-facing openings to cut heat gain</v>
      </c>
      <c r="X140" s="5" t="s">
        <v>555</v>
      </c>
    </row>
    <row r="141" customFormat="false" ht="15" hidden="false" customHeight="false" outlineLevel="0" collapsed="false">
      <c r="A141" s="5" t="str">
        <f aca="false">Combined_Scenarios!A141</f>
        <v>S140</v>
      </c>
      <c r="B141" s="5" t="n">
        <f aca="false">0.5+Combined_Scenarios!AA141*10</f>
        <v>1.14814814814815</v>
      </c>
      <c r="C141" s="5" t="n">
        <f aca="false">0.33*B141*Combined_Scenarios!Z141</f>
        <v>22.7333333333333</v>
      </c>
      <c r="D141" s="5" t="n">
        <f aca="false">Combined_Scenarios!W141*Combined_Scenarios!X141</f>
        <v>131.412639405204</v>
      </c>
      <c r="E141" s="5" t="n">
        <f aca="false">C141+D141</f>
        <v>154.145972738538</v>
      </c>
      <c r="F141" s="5" t="n">
        <f aca="false">0.5*Combined_Scenarios!Y141</f>
        <v>1.75</v>
      </c>
      <c r="G141" s="5" t="n">
        <f aca="false">Combined_Scenarios!K141*F141</f>
        <v>277.083333333333</v>
      </c>
      <c r="H141" s="5" t="n">
        <f aca="false">Combined_Scenarios!H141+IF(E141=0,0,G141/E141)</f>
        <v>27.7975385824923</v>
      </c>
      <c r="I141" s="5" t="n">
        <f aca="false">H141-Combined_Scenarios!H141</f>
        <v>1.79753858249234</v>
      </c>
      <c r="J141" s="5" t="n">
        <f aca="false">E141*I141</f>
        <v>277.083333333334</v>
      </c>
      <c r="K141" s="5" t="n">
        <f aca="false">0.31*Combined_Scenarios!H141+17.8</f>
        <v>25.86</v>
      </c>
      <c r="L141" s="5" t="n">
        <f aca="false">H141-K141</f>
        <v>1.93753858249234</v>
      </c>
      <c r="M141" s="5" t="str">
        <f aca="false">IF(AND(H141&gt;=12,H141&lt;=35),"Within safe range","Outside safe range")</f>
        <v>Within safe range</v>
      </c>
      <c r="N141" s="5" t="n">
        <f aca="false">MAX(0,100-ABS(L141)*8)</f>
        <v>84.4996913400613</v>
      </c>
      <c r="O141" s="5" t="n">
        <f aca="false">MAX(-3,MIN(3,L141/3))</f>
        <v>0.645846194164112</v>
      </c>
      <c r="P141" s="5" t="n">
        <f aca="false">100-95*EXP(-(0.03353*O141^4+0.2179*O141^2))</f>
        <v>13.7583489748664</v>
      </c>
      <c r="Q141" s="5" t="n">
        <f aca="false">IF(H141&lt;18,E141*(18-H141),0)</f>
        <v>0</v>
      </c>
      <c r="R141" s="5" t="n">
        <f aca="false">IF(H141&gt;26,E141*(H141-26),0)</f>
        <v>277.083333333334</v>
      </c>
      <c r="S141" s="5" t="n">
        <f aca="false">Q141+R141</f>
        <v>277.083333333334</v>
      </c>
      <c r="T141" s="5" t="n">
        <f aca="false">MAX(0,100-S141/5)</f>
        <v>44.5833333333333</v>
      </c>
      <c r="U141" s="5" t="n">
        <f aca="false">(N141+T141)/2</f>
        <v>64.5415123366973</v>
      </c>
      <c r="V141" s="5" t="str">
        <f aca="false">IF(U141&gt;=60,"Recommended","Not Recommended")</f>
        <v>Recommended</v>
      </c>
      <c r="W141" s="5" t="str">
        <f aca="false">IF(Q141&gt;0,"Increase insulation thickness or reduce opening area to cut heat loss",IF(R141&gt;0,"Increase shading/ventilation or reduce solar-facing openings to cut heat gain","Design meets estimated comfort band without major changes"))</f>
        <v>Increase shading/ventilation or reduce solar-facing openings to cut heat gain</v>
      </c>
      <c r="X141" s="5" t="s">
        <v>555</v>
      </c>
    </row>
    <row r="142" customFormat="false" ht="15" hidden="false" customHeight="false" outlineLevel="0" collapsed="false">
      <c r="A142" s="5" t="str">
        <f aca="false">Combined_Scenarios!A142</f>
        <v>S141</v>
      </c>
      <c r="B142" s="5" t="n">
        <f aca="false">0.5+Combined_Scenarios!AA142*10</f>
        <v>0.980769230769231</v>
      </c>
      <c r="C142" s="5" t="n">
        <f aca="false">0.33*B142*Combined_Scenarios!Z142</f>
        <v>9.51542307692308</v>
      </c>
      <c r="D142" s="5" t="n">
        <f aca="false">Combined_Scenarios!W142*Combined_Scenarios!X142</f>
        <v>27.9113924050633</v>
      </c>
      <c r="E142" s="5" t="n">
        <f aca="false">C142+D142</f>
        <v>37.4268154819864</v>
      </c>
      <c r="F142" s="5" t="n">
        <f aca="false">0.5*Combined_Scenarios!Y142</f>
        <v>0.875</v>
      </c>
      <c r="G142" s="5" t="n">
        <f aca="false">Combined_Scenarios!K142*F142</f>
        <v>138.541666666667</v>
      </c>
      <c r="H142" s="5" t="n">
        <f aca="false">Combined_Scenarios!H142+IF(E142=0,0,G142/E142)</f>
        <v>19.7016685732546</v>
      </c>
      <c r="I142" s="5" t="n">
        <f aca="false">H142-Combined_Scenarios!H142</f>
        <v>3.70166857325457</v>
      </c>
      <c r="J142" s="5" t="n">
        <f aca="false">E142*I142</f>
        <v>138.541666666667</v>
      </c>
      <c r="K142" s="5" t="n">
        <f aca="false">0.31*Combined_Scenarios!H142+17.8</f>
        <v>22.76</v>
      </c>
      <c r="L142" s="5" t="n">
        <f aca="false">H142-K142</f>
        <v>-3.05833142674543</v>
      </c>
      <c r="M142" s="5" t="str">
        <f aca="false">IF(AND(H142&gt;=12,H142&lt;=35),"Within safe range","Outside safe range")</f>
        <v>Within safe range</v>
      </c>
      <c r="N142" s="5" t="n">
        <f aca="false">MAX(0,100-ABS(L142)*8)</f>
        <v>75.5333485860366</v>
      </c>
      <c r="O142" s="5" t="n">
        <f aca="false">MAX(-3,MIN(3,L142/3))</f>
        <v>-1.01944380891514</v>
      </c>
      <c r="P142" s="5" t="n">
        <f aca="false">100-95*EXP(-(0.03353*O142^4+0.2179*O142^2))</f>
        <v>26.9454774057766</v>
      </c>
      <c r="Q142" s="5" t="n">
        <f aca="false">IF(H142&lt;18,E142*(18-H142),0)</f>
        <v>0</v>
      </c>
      <c r="R142" s="5" t="n">
        <f aca="false">IF(H142&gt;26,E142*(H142-26),0)</f>
        <v>0</v>
      </c>
      <c r="S142" s="5" t="n">
        <f aca="false">Q142+R142</f>
        <v>0</v>
      </c>
      <c r="T142" s="5" t="n">
        <f aca="false">MAX(0,100-S142/5)</f>
        <v>100</v>
      </c>
      <c r="U142" s="5" t="n">
        <f aca="false">(N142+T142)/2</f>
        <v>87.7666742930183</v>
      </c>
      <c r="V142" s="5" t="str">
        <f aca="false">IF(U142&gt;=60,"Recommended","Not Recommended")</f>
        <v>Recommended</v>
      </c>
      <c r="W142" s="5" t="str">
        <f aca="false">IF(Q142&gt;0,"Increase insulation thickness or reduce opening area to cut heat loss",IF(R142&gt;0,"Increase shading/ventilation or reduce solar-facing openings to cut heat gain","Design meets estimated comfort band without major changes"))</f>
        <v>Design meets estimated comfort band without major changes</v>
      </c>
      <c r="X142" s="5" t="s">
        <v>555</v>
      </c>
    </row>
    <row r="143" customFormat="false" ht="15" hidden="false" customHeight="false" outlineLevel="0" collapsed="false">
      <c r="A143" s="5" t="str">
        <f aca="false">Combined_Scenarios!A143</f>
        <v>S142</v>
      </c>
      <c r="B143" s="5" t="n">
        <f aca="false">0.5+Combined_Scenarios!AA143*10</f>
        <v>0.980769230769231</v>
      </c>
      <c r="C143" s="5" t="n">
        <f aca="false">0.33*B143*Combined_Scenarios!Z143</f>
        <v>9.51542307692308</v>
      </c>
      <c r="D143" s="5" t="n">
        <f aca="false">Combined_Scenarios!W143*Combined_Scenarios!X143</f>
        <v>27.9113924050633</v>
      </c>
      <c r="E143" s="5" t="n">
        <f aca="false">C143+D143</f>
        <v>37.4268154819864</v>
      </c>
      <c r="F143" s="5" t="n">
        <f aca="false">0.5*Combined_Scenarios!Y143</f>
        <v>0.875</v>
      </c>
      <c r="G143" s="5" t="n">
        <f aca="false">Combined_Scenarios!K143*F143</f>
        <v>175</v>
      </c>
      <c r="H143" s="5" t="n">
        <f aca="false">Combined_Scenarios!H143+IF(E143=0,0,G143/E143)</f>
        <v>29.6757918820058</v>
      </c>
      <c r="I143" s="5" t="n">
        <f aca="false">H143-Combined_Scenarios!H143</f>
        <v>4.67579188200578</v>
      </c>
      <c r="J143" s="5" t="n">
        <f aca="false">E143*I143</f>
        <v>175</v>
      </c>
      <c r="K143" s="5" t="n">
        <f aca="false">0.31*Combined_Scenarios!H143+17.8</f>
        <v>25.55</v>
      </c>
      <c r="L143" s="5" t="n">
        <f aca="false">H143-K143</f>
        <v>4.12579188200578</v>
      </c>
      <c r="M143" s="5" t="str">
        <f aca="false">IF(AND(H143&gt;=12,H143&lt;=35),"Within safe range","Outside safe range")</f>
        <v>Within safe range</v>
      </c>
      <c r="N143" s="5" t="n">
        <f aca="false">MAX(0,100-ABS(L143)*8)</f>
        <v>66.9936649439538</v>
      </c>
      <c r="O143" s="5" t="n">
        <f aca="false">MAX(-3,MIN(3,L143/3))</f>
        <v>1.37526396066859</v>
      </c>
      <c r="P143" s="5" t="n">
        <f aca="false">100-95*EXP(-(0.03353*O143^4+0.2179*O143^2))</f>
        <v>44.198111246936</v>
      </c>
      <c r="Q143" s="5" t="n">
        <f aca="false">IF(H143&lt;18,E143*(18-H143),0)</f>
        <v>0</v>
      </c>
      <c r="R143" s="5" t="n">
        <f aca="false">IF(H143&gt;26,E143*(H143-26),0)</f>
        <v>137.573184518014</v>
      </c>
      <c r="S143" s="5" t="n">
        <f aca="false">Q143+R143</f>
        <v>137.573184518014</v>
      </c>
      <c r="T143" s="5" t="n">
        <f aca="false">MAX(0,100-S143/5)</f>
        <v>72.4853630963973</v>
      </c>
      <c r="U143" s="5" t="n">
        <f aca="false">(N143+T143)/2</f>
        <v>69.7395140201756</v>
      </c>
      <c r="V143" s="5" t="str">
        <f aca="false">IF(U143&gt;=60,"Recommended","Not Recommended")</f>
        <v>Recommended</v>
      </c>
      <c r="W143" s="5" t="str">
        <f aca="false">IF(Q143&gt;0,"Increase insulation thickness or reduce opening area to cut heat loss",IF(R143&gt;0,"Increase shading/ventilation or reduce solar-facing openings to cut heat gain","Design meets estimated comfort band without major changes"))</f>
        <v>Increase shading/ventilation or reduce solar-facing openings to cut heat gain</v>
      </c>
      <c r="X143" s="5" t="s">
        <v>555</v>
      </c>
    </row>
    <row r="144" customFormat="false" ht="15" hidden="false" customHeight="false" outlineLevel="0" collapsed="false">
      <c r="A144" s="5" t="str">
        <f aca="false">Combined_Scenarios!A144</f>
        <v>S143</v>
      </c>
      <c r="B144" s="5" t="n">
        <f aca="false">0.5+Combined_Scenarios!AA144*10</f>
        <v>0.980769230769231</v>
      </c>
      <c r="C144" s="5" t="n">
        <f aca="false">0.33*B144*Combined_Scenarios!Z144</f>
        <v>9.51542307692308</v>
      </c>
      <c r="D144" s="5" t="n">
        <f aca="false">Combined_Scenarios!W144*Combined_Scenarios!X144</f>
        <v>27.9113924050633</v>
      </c>
      <c r="E144" s="5" t="n">
        <f aca="false">C144+D144</f>
        <v>37.4268154819864</v>
      </c>
      <c r="F144" s="5" t="n">
        <f aca="false">0.5*Combined_Scenarios!Y144</f>
        <v>0.875</v>
      </c>
      <c r="G144" s="5" t="n">
        <f aca="false">Combined_Scenarios!K144*F144</f>
        <v>138.541666666667</v>
      </c>
      <c r="H144" s="5" t="n">
        <f aca="false">Combined_Scenarios!H144+IF(E144=0,0,G144/E144)</f>
        <v>31.7016685732546</v>
      </c>
      <c r="I144" s="5" t="n">
        <f aca="false">H144-Combined_Scenarios!H144</f>
        <v>3.70166857325457</v>
      </c>
      <c r="J144" s="5" t="n">
        <f aca="false">E144*I144</f>
        <v>138.541666666667</v>
      </c>
      <c r="K144" s="5" t="n">
        <f aca="false">0.31*Combined_Scenarios!H144+17.8</f>
        <v>26.48</v>
      </c>
      <c r="L144" s="5" t="n">
        <f aca="false">H144-K144</f>
        <v>5.22166857325457</v>
      </c>
      <c r="M144" s="5" t="str">
        <f aca="false">IF(AND(H144&gt;=12,H144&lt;=35),"Within safe range","Outside safe range")</f>
        <v>Within safe range</v>
      </c>
      <c r="N144" s="5" t="n">
        <f aca="false">MAX(0,100-ABS(L144)*8)</f>
        <v>58.2266514139634</v>
      </c>
      <c r="O144" s="5" t="n">
        <f aca="false">MAX(-3,MIN(3,L144/3))</f>
        <v>1.74055619108486</v>
      </c>
      <c r="P144" s="5" t="n">
        <f aca="false">100-95*EXP(-(0.03353*O144^4+0.2179*O144^2))</f>
        <v>63.91057972126</v>
      </c>
      <c r="Q144" s="5" t="n">
        <f aca="false">IF(H144&lt;18,E144*(18-H144),0)</f>
        <v>0</v>
      </c>
      <c r="R144" s="5" t="n">
        <f aca="false">IF(H144&gt;26,E144*(H144-26),0)</f>
        <v>213.395297630639</v>
      </c>
      <c r="S144" s="5" t="n">
        <f aca="false">Q144+R144</f>
        <v>213.395297630639</v>
      </c>
      <c r="T144" s="5" t="n">
        <f aca="false">MAX(0,100-S144/5)</f>
        <v>57.3209404738721</v>
      </c>
      <c r="U144" s="5" t="n">
        <f aca="false">(N144+T144)/2</f>
        <v>57.7737959439178</v>
      </c>
      <c r="V144" s="5" t="str">
        <f aca="false">IF(U144&gt;=60,"Recommended","Not Recommended")</f>
        <v>Not Recommended</v>
      </c>
      <c r="W144" s="5" t="str">
        <f aca="false">IF(Q144&gt;0,"Increase insulation thickness or reduce opening area to cut heat loss",IF(R144&gt;0,"Increase shading/ventilation or reduce solar-facing openings to cut heat gain","Design meets estimated comfort band without major changes"))</f>
        <v>Increase shading/ventilation or reduce solar-facing openings to cut heat gain</v>
      </c>
      <c r="X144" s="5" t="s">
        <v>555</v>
      </c>
    </row>
    <row r="145" customFormat="false" ht="15" hidden="false" customHeight="false" outlineLevel="0" collapsed="false">
      <c r="A145" s="5" t="str">
        <f aca="false">Combined_Scenarios!A145</f>
        <v>S144</v>
      </c>
      <c r="B145" s="5" t="n">
        <f aca="false">0.5+Combined_Scenarios!AA145*10</f>
        <v>0.980769230769231</v>
      </c>
      <c r="C145" s="5" t="n">
        <f aca="false">0.33*B145*Combined_Scenarios!Z145</f>
        <v>9.51542307692308</v>
      </c>
      <c r="D145" s="5" t="n">
        <f aca="false">Combined_Scenarios!W145*Combined_Scenarios!X145</f>
        <v>27.9113924050633</v>
      </c>
      <c r="E145" s="5" t="n">
        <f aca="false">C145+D145</f>
        <v>37.4268154819864</v>
      </c>
      <c r="F145" s="5" t="n">
        <f aca="false">0.5*Combined_Scenarios!Y145</f>
        <v>0.875</v>
      </c>
      <c r="G145" s="5" t="n">
        <f aca="false">Combined_Scenarios!K145*F145</f>
        <v>145.833333333333</v>
      </c>
      <c r="H145" s="5" t="n">
        <f aca="false">Combined_Scenarios!H145+IF(E145=0,0,G145/E145)</f>
        <v>31.8964932350048</v>
      </c>
      <c r="I145" s="5" t="n">
        <f aca="false">H145-Combined_Scenarios!H145</f>
        <v>3.89649323500482</v>
      </c>
      <c r="J145" s="5" t="n">
        <f aca="false">E145*I145</f>
        <v>145.833333333333</v>
      </c>
      <c r="K145" s="5" t="n">
        <f aca="false">0.31*Combined_Scenarios!H145+17.8</f>
        <v>26.48</v>
      </c>
      <c r="L145" s="5" t="n">
        <f aca="false">H145-K145</f>
        <v>5.41649323500482</v>
      </c>
      <c r="M145" s="5" t="str">
        <f aca="false">IF(AND(H145&gt;=12,H145&lt;=35),"Within safe range","Outside safe range")</f>
        <v>Within safe range</v>
      </c>
      <c r="N145" s="5" t="n">
        <f aca="false">MAX(0,100-ABS(L145)*8)</f>
        <v>56.6680541199615</v>
      </c>
      <c r="O145" s="5" t="n">
        <f aca="false">MAX(-3,MIN(3,L145/3))</f>
        <v>1.80549774500161</v>
      </c>
      <c r="P145" s="5" t="n">
        <f aca="false">100-95*EXP(-(0.03353*O145^4+0.2179*O145^2))</f>
        <v>67.3038571424532</v>
      </c>
      <c r="Q145" s="5" t="n">
        <f aca="false">IF(H145&lt;18,E145*(18-H145),0)</f>
        <v>0</v>
      </c>
      <c r="R145" s="5" t="n">
        <f aca="false">IF(H145&gt;26,E145*(H145-26),0)</f>
        <v>220.686964297306</v>
      </c>
      <c r="S145" s="5" t="n">
        <f aca="false">Q145+R145</f>
        <v>220.686964297306</v>
      </c>
      <c r="T145" s="5" t="n">
        <f aca="false">MAX(0,100-S145/5)</f>
        <v>55.8626071405388</v>
      </c>
      <c r="U145" s="5" t="n">
        <f aca="false">(N145+T145)/2</f>
        <v>56.2653306302501</v>
      </c>
      <c r="V145" s="5" t="str">
        <f aca="false">IF(U145&gt;=60,"Recommended","Not Recommended")</f>
        <v>Not Recommended</v>
      </c>
      <c r="W145" s="5" t="str">
        <f aca="false">IF(Q145&gt;0,"Increase insulation thickness or reduce opening area to cut heat loss",IF(R145&gt;0,"Increase shading/ventilation or reduce solar-facing openings to cut heat gain","Design meets estimated comfort band without major changes"))</f>
        <v>Increase shading/ventilation or reduce solar-facing openings to cut heat gain</v>
      </c>
      <c r="X145" s="5" t="s">
        <v>555</v>
      </c>
    </row>
    <row r="146" customFormat="false" ht="15" hidden="false" customHeight="false" outlineLevel="0" collapsed="false">
      <c r="A146" s="5" t="str">
        <f aca="false">Combined_Scenarios!A146</f>
        <v>S145</v>
      </c>
      <c r="B146" s="5" t="n">
        <f aca="false">0.5+Combined_Scenarios!AA146*10</f>
        <v>0.980769230769231</v>
      </c>
      <c r="C146" s="5" t="n">
        <f aca="false">0.33*B146*Combined_Scenarios!Z146</f>
        <v>9.51542307692308</v>
      </c>
      <c r="D146" s="5" t="n">
        <f aca="false">Combined_Scenarios!W146*Combined_Scenarios!X146</f>
        <v>27.9113924050633</v>
      </c>
      <c r="E146" s="5" t="n">
        <f aca="false">C146+D146</f>
        <v>37.4268154819864</v>
      </c>
      <c r="F146" s="5" t="n">
        <f aca="false">0.5*Combined_Scenarios!Y146</f>
        <v>0.875</v>
      </c>
      <c r="G146" s="5" t="n">
        <f aca="false">Combined_Scenarios!K146*F146</f>
        <v>138.541666666667</v>
      </c>
      <c r="H146" s="5" t="n">
        <f aca="false">Combined_Scenarios!H146+IF(E146=0,0,G146/E146)</f>
        <v>23.7016685732546</v>
      </c>
      <c r="I146" s="5" t="n">
        <f aca="false">H146-Combined_Scenarios!H146</f>
        <v>3.70166857325457</v>
      </c>
      <c r="J146" s="5" t="n">
        <f aca="false">E146*I146</f>
        <v>138.541666666667</v>
      </c>
      <c r="K146" s="5" t="n">
        <f aca="false">0.31*Combined_Scenarios!H146+17.8</f>
        <v>24</v>
      </c>
      <c r="L146" s="5" t="n">
        <f aca="false">H146-K146</f>
        <v>-0.298331426745428</v>
      </c>
      <c r="M146" s="5" t="str">
        <f aca="false">IF(AND(H146&gt;=12,H146&lt;=35),"Within safe range","Outside safe range")</f>
        <v>Within safe range</v>
      </c>
      <c r="N146" s="5" t="n">
        <f aca="false">MAX(0,100-ABS(L146)*8)</f>
        <v>97.6133485860366</v>
      </c>
      <c r="O146" s="5" t="n">
        <f aca="false">MAX(-3,MIN(3,L146/3))</f>
        <v>-0.0994438089151425</v>
      </c>
      <c r="P146" s="5" t="n">
        <f aca="false">100-95*EXP(-(0.03353*O146^4+0.2179*O146^2))</f>
        <v>5.20479915541395</v>
      </c>
      <c r="Q146" s="5" t="n">
        <f aca="false">IF(H146&lt;18,E146*(18-H146),0)</f>
        <v>0</v>
      </c>
      <c r="R146" s="5" t="n">
        <f aca="false">IF(H146&gt;26,E146*(H146-26),0)</f>
        <v>0</v>
      </c>
      <c r="S146" s="5" t="n">
        <f aca="false">Q146+R146</f>
        <v>0</v>
      </c>
      <c r="T146" s="5" t="n">
        <f aca="false">MAX(0,100-S146/5)</f>
        <v>100</v>
      </c>
      <c r="U146" s="5" t="n">
        <f aca="false">(N146+T146)/2</f>
        <v>98.8066742930183</v>
      </c>
      <c r="V146" s="5" t="str">
        <f aca="false">IF(U146&gt;=60,"Recommended","Not Recommended")</f>
        <v>Recommended</v>
      </c>
      <c r="W146" s="5" t="str">
        <f aca="false">IF(Q146&gt;0,"Increase insulation thickness or reduce opening area to cut heat loss",IF(R146&gt;0,"Increase shading/ventilation or reduce solar-facing openings to cut heat gain","Design meets estimated comfort band without major changes"))</f>
        <v>Design meets estimated comfort band without major changes</v>
      </c>
      <c r="X146" s="5" t="s">
        <v>555</v>
      </c>
    </row>
    <row r="147" customFormat="false" ht="15" hidden="false" customHeight="false" outlineLevel="0" collapsed="false">
      <c r="A147" s="5" t="str">
        <f aca="false">Combined_Scenarios!A147</f>
        <v>S146</v>
      </c>
      <c r="B147" s="5" t="n">
        <f aca="false">0.5+Combined_Scenarios!AA147*10</f>
        <v>0.962962962962963</v>
      </c>
      <c r="C147" s="5" t="n">
        <f aca="false">0.33*B147*Combined_Scenarios!Z147</f>
        <v>19.0666666666667</v>
      </c>
      <c r="D147" s="5" t="n">
        <f aca="false">Combined_Scenarios!W147*Combined_Scenarios!X147</f>
        <v>41.4844649021864</v>
      </c>
      <c r="E147" s="5" t="n">
        <f aca="false">C147+D147</f>
        <v>60.5511315688531</v>
      </c>
      <c r="F147" s="5" t="n">
        <f aca="false">0.5*Combined_Scenarios!Y147</f>
        <v>1.25</v>
      </c>
      <c r="G147" s="5" t="n">
        <f aca="false">Combined_Scenarios!K147*F147</f>
        <v>197.916666666667</v>
      </c>
      <c r="H147" s="5" t="n">
        <f aca="false">Combined_Scenarios!H147+IF(E147=0,0,G147/E147)</f>
        <v>19.2685874159365</v>
      </c>
      <c r="I147" s="5" t="n">
        <f aca="false">H147-Combined_Scenarios!H147</f>
        <v>3.26858741593647</v>
      </c>
      <c r="J147" s="5" t="n">
        <f aca="false">E147*I147</f>
        <v>197.916666666667</v>
      </c>
      <c r="K147" s="5" t="n">
        <f aca="false">0.31*Combined_Scenarios!H147+17.8</f>
        <v>22.76</v>
      </c>
      <c r="L147" s="5" t="n">
        <f aca="false">H147-K147</f>
        <v>-3.49141258406353</v>
      </c>
      <c r="M147" s="5" t="str">
        <f aca="false">IF(AND(H147&gt;=12,H147&lt;=35),"Within safe range","Outside safe range")</f>
        <v>Within safe range</v>
      </c>
      <c r="N147" s="5" t="n">
        <f aca="false">MAX(0,100-ABS(L147)*8)</f>
        <v>72.0686993274917</v>
      </c>
      <c r="O147" s="5" t="n">
        <f aca="false">MAX(-3,MIN(3,L147/3))</f>
        <v>-1.16380419468784</v>
      </c>
      <c r="P147" s="5" t="n">
        <f aca="false">100-95*EXP(-(0.03353*O147^4+0.2179*O147^2))</f>
        <v>33.4979144306805</v>
      </c>
      <c r="Q147" s="5" t="n">
        <f aca="false">IF(H147&lt;18,E147*(18-H147),0)</f>
        <v>0</v>
      </c>
      <c r="R147" s="5" t="n">
        <f aca="false">IF(H147&gt;26,E147*(H147-26),0)</f>
        <v>0</v>
      </c>
      <c r="S147" s="5" t="n">
        <f aca="false">Q147+R147</f>
        <v>0</v>
      </c>
      <c r="T147" s="5" t="n">
        <f aca="false">MAX(0,100-S147/5)</f>
        <v>100</v>
      </c>
      <c r="U147" s="5" t="n">
        <f aca="false">(N147+T147)/2</f>
        <v>86.0343496637459</v>
      </c>
      <c r="V147" s="5" t="str">
        <f aca="false">IF(U147&gt;=60,"Recommended","Not Recommended")</f>
        <v>Recommended</v>
      </c>
      <c r="W147" s="5" t="str">
        <f aca="false">IF(Q147&gt;0,"Increase insulation thickness or reduce opening area to cut heat loss",IF(R147&gt;0,"Increase shading/ventilation or reduce solar-facing openings to cut heat gain","Design meets estimated comfort band without major changes"))</f>
        <v>Design meets estimated comfort band without major changes</v>
      </c>
      <c r="X147" s="5" t="s">
        <v>555</v>
      </c>
    </row>
    <row r="148" customFormat="false" ht="15" hidden="false" customHeight="false" outlineLevel="0" collapsed="false">
      <c r="A148" s="5" t="str">
        <f aca="false">Combined_Scenarios!A148</f>
        <v>S147</v>
      </c>
      <c r="B148" s="5" t="n">
        <f aca="false">0.5+Combined_Scenarios!AA148*10</f>
        <v>0.962962962962963</v>
      </c>
      <c r="C148" s="5" t="n">
        <f aca="false">0.33*B148*Combined_Scenarios!Z148</f>
        <v>19.0666666666667</v>
      </c>
      <c r="D148" s="5" t="n">
        <f aca="false">Combined_Scenarios!W148*Combined_Scenarios!X148</f>
        <v>41.4844649021864</v>
      </c>
      <c r="E148" s="5" t="n">
        <f aca="false">C148+D148</f>
        <v>60.5511315688531</v>
      </c>
      <c r="F148" s="5" t="n">
        <f aca="false">0.5*Combined_Scenarios!Y148</f>
        <v>1.25</v>
      </c>
      <c r="G148" s="5" t="n">
        <f aca="false">Combined_Scenarios!K148*F148</f>
        <v>250</v>
      </c>
      <c r="H148" s="5" t="n">
        <f aca="false">Combined_Scenarios!H148+IF(E148=0,0,G148/E148)</f>
        <v>29.1287419990776</v>
      </c>
      <c r="I148" s="5" t="n">
        <f aca="false">H148-Combined_Scenarios!H148</f>
        <v>4.12874199907764</v>
      </c>
      <c r="J148" s="5" t="n">
        <f aca="false">E148*I148</f>
        <v>250</v>
      </c>
      <c r="K148" s="5" t="n">
        <f aca="false">0.31*Combined_Scenarios!H148+17.8</f>
        <v>25.55</v>
      </c>
      <c r="L148" s="5" t="n">
        <f aca="false">H148-K148</f>
        <v>3.57874199907764</v>
      </c>
      <c r="M148" s="5" t="str">
        <f aca="false">IF(AND(H148&gt;=12,H148&lt;=35),"Within safe range","Outside safe range")</f>
        <v>Within safe range</v>
      </c>
      <c r="N148" s="5" t="n">
        <f aca="false">MAX(0,100-ABS(L148)*8)</f>
        <v>71.3700640073789</v>
      </c>
      <c r="O148" s="5" t="n">
        <f aca="false">MAX(-3,MIN(3,L148/3))</f>
        <v>1.19291399969255</v>
      </c>
      <c r="P148" s="5" t="n">
        <f aca="false">100-95*EXP(-(0.03353*O148^4+0.2179*O148^2))</f>
        <v>34.9018848836209</v>
      </c>
      <c r="Q148" s="5" t="n">
        <f aca="false">IF(H148&lt;18,E148*(18-H148),0)</f>
        <v>0</v>
      </c>
      <c r="R148" s="5" t="n">
        <f aca="false">IF(H148&gt;26,E148*(H148-26),0)</f>
        <v>189.448868431147</v>
      </c>
      <c r="S148" s="5" t="n">
        <f aca="false">Q148+R148</f>
        <v>189.448868431147</v>
      </c>
      <c r="T148" s="5" t="n">
        <f aca="false">MAX(0,100-S148/5)</f>
        <v>62.1102263137706</v>
      </c>
      <c r="U148" s="5" t="n">
        <f aca="false">(N148+T148)/2</f>
        <v>66.7401451605747</v>
      </c>
      <c r="V148" s="5" t="str">
        <f aca="false">IF(U148&gt;=60,"Recommended","Not Recommended")</f>
        <v>Recommended</v>
      </c>
      <c r="W148" s="5" t="str">
        <f aca="false">IF(Q148&gt;0,"Increase insulation thickness or reduce opening area to cut heat loss",IF(R148&gt;0,"Increase shading/ventilation or reduce solar-facing openings to cut heat gain","Design meets estimated comfort band without major changes"))</f>
        <v>Increase shading/ventilation or reduce solar-facing openings to cut heat gain</v>
      </c>
      <c r="X148" s="5" t="s">
        <v>555</v>
      </c>
    </row>
    <row r="149" customFormat="false" ht="15" hidden="false" customHeight="false" outlineLevel="0" collapsed="false">
      <c r="A149" s="5" t="str">
        <f aca="false">Combined_Scenarios!A149</f>
        <v>S148</v>
      </c>
      <c r="B149" s="5" t="n">
        <f aca="false">0.5+Combined_Scenarios!AA149*10</f>
        <v>0.962962962962963</v>
      </c>
      <c r="C149" s="5" t="n">
        <f aca="false">0.33*B149*Combined_Scenarios!Z149</f>
        <v>19.0666666666667</v>
      </c>
      <c r="D149" s="5" t="n">
        <f aca="false">Combined_Scenarios!W149*Combined_Scenarios!X149</f>
        <v>41.4844649021864</v>
      </c>
      <c r="E149" s="5" t="n">
        <f aca="false">C149+D149</f>
        <v>60.5511315688531</v>
      </c>
      <c r="F149" s="5" t="n">
        <f aca="false">0.5*Combined_Scenarios!Y149</f>
        <v>1.25</v>
      </c>
      <c r="G149" s="5" t="n">
        <f aca="false">Combined_Scenarios!K149*F149</f>
        <v>197.916666666667</v>
      </c>
      <c r="H149" s="5" t="n">
        <f aca="false">Combined_Scenarios!H149+IF(E149=0,0,G149/E149)</f>
        <v>31.2685874159365</v>
      </c>
      <c r="I149" s="5" t="n">
        <f aca="false">H149-Combined_Scenarios!H149</f>
        <v>3.26858741593647</v>
      </c>
      <c r="J149" s="5" t="n">
        <f aca="false">E149*I149</f>
        <v>197.916666666667</v>
      </c>
      <c r="K149" s="5" t="n">
        <f aca="false">0.31*Combined_Scenarios!H149+17.8</f>
        <v>26.48</v>
      </c>
      <c r="L149" s="5" t="n">
        <f aca="false">H149-K149</f>
        <v>4.78858741593647</v>
      </c>
      <c r="M149" s="5" t="str">
        <f aca="false">IF(AND(H149&gt;=12,H149&lt;=35),"Within safe range","Outside safe range")</f>
        <v>Within safe range</v>
      </c>
      <c r="N149" s="5" t="n">
        <f aca="false">MAX(0,100-ABS(L149)*8)</f>
        <v>61.6913006725083</v>
      </c>
      <c r="O149" s="5" t="n">
        <f aca="false">MAX(-3,MIN(3,L149/3))</f>
        <v>1.59619580531216</v>
      </c>
      <c r="P149" s="5" t="n">
        <f aca="false">100-95*EXP(-(0.03353*O149^4+0.2179*O149^2))</f>
        <v>56.1382547808671</v>
      </c>
      <c r="Q149" s="5" t="n">
        <f aca="false">IF(H149&lt;18,E149*(18-H149),0)</f>
        <v>0</v>
      </c>
      <c r="R149" s="5" t="n">
        <f aca="false">IF(H149&gt;26,E149*(H149-26),0)</f>
        <v>319.018929804373</v>
      </c>
      <c r="S149" s="5" t="n">
        <f aca="false">Q149+R149</f>
        <v>319.018929804373</v>
      </c>
      <c r="T149" s="5" t="n">
        <f aca="false">MAX(0,100-S149/5)</f>
        <v>36.1962140391254</v>
      </c>
      <c r="U149" s="5" t="n">
        <f aca="false">(N149+T149)/2</f>
        <v>48.9437573558168</v>
      </c>
      <c r="V149" s="5" t="str">
        <f aca="false">IF(U149&gt;=60,"Recommended","Not Recommended")</f>
        <v>Not Recommended</v>
      </c>
      <c r="W149" s="5" t="str">
        <f aca="false">IF(Q149&gt;0,"Increase insulation thickness or reduce opening area to cut heat loss",IF(R149&gt;0,"Increase shading/ventilation or reduce solar-facing openings to cut heat gain","Design meets estimated comfort band without major changes"))</f>
        <v>Increase shading/ventilation or reduce solar-facing openings to cut heat gain</v>
      </c>
      <c r="X149" s="5" t="s">
        <v>555</v>
      </c>
    </row>
    <row r="150" customFormat="false" ht="15" hidden="false" customHeight="false" outlineLevel="0" collapsed="false">
      <c r="A150" s="5" t="str">
        <f aca="false">Combined_Scenarios!A150</f>
        <v>S149</v>
      </c>
      <c r="B150" s="5" t="n">
        <f aca="false">0.5+Combined_Scenarios!AA150*10</f>
        <v>0.962962962962963</v>
      </c>
      <c r="C150" s="5" t="n">
        <f aca="false">0.33*B150*Combined_Scenarios!Z150</f>
        <v>19.0666666666667</v>
      </c>
      <c r="D150" s="5" t="n">
        <f aca="false">Combined_Scenarios!W150*Combined_Scenarios!X150</f>
        <v>41.4844649021864</v>
      </c>
      <c r="E150" s="5" t="n">
        <f aca="false">C150+D150</f>
        <v>60.5511315688531</v>
      </c>
      <c r="F150" s="5" t="n">
        <f aca="false">0.5*Combined_Scenarios!Y150</f>
        <v>1.25</v>
      </c>
      <c r="G150" s="5" t="n">
        <f aca="false">Combined_Scenarios!K150*F150</f>
        <v>208.333333333333</v>
      </c>
      <c r="H150" s="5" t="n">
        <f aca="false">Combined_Scenarios!H150+IF(E150=0,0,G150/E150)</f>
        <v>31.4406183325647</v>
      </c>
      <c r="I150" s="5" t="n">
        <f aca="false">H150-Combined_Scenarios!H150</f>
        <v>3.4406183325647</v>
      </c>
      <c r="J150" s="5" t="n">
        <f aca="false">E150*I150</f>
        <v>208.333333333333</v>
      </c>
      <c r="K150" s="5" t="n">
        <f aca="false">0.31*Combined_Scenarios!H150+17.8</f>
        <v>26.48</v>
      </c>
      <c r="L150" s="5" t="n">
        <f aca="false">H150-K150</f>
        <v>4.9606183325647</v>
      </c>
      <c r="M150" s="5" t="str">
        <f aca="false">IF(AND(H150&gt;=12,H150&lt;=35),"Within safe range","Outside safe range")</f>
        <v>Within safe range</v>
      </c>
      <c r="N150" s="5" t="n">
        <f aca="false">MAX(0,100-ABS(L150)*8)</f>
        <v>60.3150533394824</v>
      </c>
      <c r="O150" s="5" t="n">
        <f aca="false">MAX(-3,MIN(3,L150/3))</f>
        <v>1.65353944418823</v>
      </c>
      <c r="P150" s="5" t="n">
        <f aca="false">100-95*EXP(-(0.03353*O150^4+0.2179*O150^2))</f>
        <v>59.2509549544197</v>
      </c>
      <c r="Q150" s="5" t="n">
        <f aca="false">IF(H150&lt;18,E150*(18-H150),0)</f>
        <v>0</v>
      </c>
      <c r="R150" s="5" t="n">
        <f aca="false">IF(H150&gt;26,E150*(H150-26),0)</f>
        <v>329.43559647104</v>
      </c>
      <c r="S150" s="5" t="n">
        <f aca="false">Q150+R150</f>
        <v>329.43559647104</v>
      </c>
      <c r="T150" s="5" t="n">
        <f aca="false">MAX(0,100-S150/5)</f>
        <v>34.1128807057921</v>
      </c>
      <c r="U150" s="5" t="n">
        <f aca="false">(N150+T150)/2</f>
        <v>47.2139670226372</v>
      </c>
      <c r="V150" s="5" t="str">
        <f aca="false">IF(U150&gt;=60,"Recommended","Not Recommended")</f>
        <v>Not Recommended</v>
      </c>
      <c r="W150" s="5" t="str">
        <f aca="false">IF(Q150&gt;0,"Increase insulation thickness or reduce opening area to cut heat loss",IF(R150&gt;0,"Increase shading/ventilation or reduce solar-facing openings to cut heat gain","Design meets estimated comfort band without major changes"))</f>
        <v>Increase shading/ventilation or reduce solar-facing openings to cut heat gain</v>
      </c>
      <c r="X150" s="5" t="s">
        <v>555</v>
      </c>
    </row>
    <row r="151" customFormat="false" ht="15" hidden="false" customHeight="false" outlineLevel="0" collapsed="false">
      <c r="A151" s="5" t="str">
        <f aca="false">Combined_Scenarios!A151</f>
        <v>S150</v>
      </c>
      <c r="B151" s="5" t="n">
        <f aca="false">0.5+Combined_Scenarios!AA151*10</f>
        <v>0.962962962962963</v>
      </c>
      <c r="C151" s="5" t="n">
        <f aca="false">0.33*B151*Combined_Scenarios!Z151</f>
        <v>19.0666666666667</v>
      </c>
      <c r="D151" s="5" t="n">
        <f aca="false">Combined_Scenarios!W151*Combined_Scenarios!X151</f>
        <v>41.4844649021864</v>
      </c>
      <c r="E151" s="5" t="n">
        <f aca="false">C151+D151</f>
        <v>60.5511315688531</v>
      </c>
      <c r="F151" s="5" t="n">
        <f aca="false">0.5*Combined_Scenarios!Y151</f>
        <v>1.25</v>
      </c>
      <c r="G151" s="5" t="n">
        <f aca="false">Combined_Scenarios!K151*F151</f>
        <v>197.916666666667</v>
      </c>
      <c r="H151" s="5" t="n">
        <f aca="false">Combined_Scenarios!H151+IF(E151=0,0,G151/E151)</f>
        <v>23.2685874159365</v>
      </c>
      <c r="I151" s="5" t="n">
        <f aca="false">H151-Combined_Scenarios!H151</f>
        <v>3.26858741593647</v>
      </c>
      <c r="J151" s="5" t="n">
        <f aca="false">E151*I151</f>
        <v>197.916666666667</v>
      </c>
      <c r="K151" s="5" t="n">
        <f aca="false">0.31*Combined_Scenarios!H151+17.8</f>
        <v>24</v>
      </c>
      <c r="L151" s="5" t="n">
        <f aca="false">H151-K151</f>
        <v>-0.731412584063531</v>
      </c>
      <c r="M151" s="5" t="str">
        <f aca="false">IF(AND(H151&gt;=12,H151&lt;=35),"Within safe range","Outside safe range")</f>
        <v>Within safe range</v>
      </c>
      <c r="N151" s="5" t="n">
        <f aca="false">MAX(0,100-ABS(L151)*8)</f>
        <v>94.1486993274918</v>
      </c>
      <c r="O151" s="5" t="n">
        <f aca="false">MAX(-3,MIN(3,L151/3))</f>
        <v>-0.243804194687844</v>
      </c>
      <c r="P151" s="5" t="n">
        <f aca="false">100-95*EXP(-(0.03353*O151^4+0.2179*O151^2))</f>
        <v>6.23362252972751</v>
      </c>
      <c r="Q151" s="5" t="n">
        <f aca="false">IF(H151&lt;18,E151*(18-H151),0)</f>
        <v>0</v>
      </c>
      <c r="R151" s="5" t="n">
        <f aca="false">IF(H151&gt;26,E151*(H151-26),0)</f>
        <v>0</v>
      </c>
      <c r="S151" s="5" t="n">
        <f aca="false">Q151+R151</f>
        <v>0</v>
      </c>
      <c r="T151" s="5" t="n">
        <f aca="false">MAX(0,100-S151/5)</f>
        <v>100</v>
      </c>
      <c r="U151" s="5" t="n">
        <f aca="false">(N151+T151)/2</f>
        <v>97.0743496637459</v>
      </c>
      <c r="V151" s="5" t="str">
        <f aca="false">IF(U151&gt;=60,"Recommended","Not Recommended")</f>
        <v>Recommended</v>
      </c>
      <c r="W151" s="5" t="str">
        <f aca="false">IF(Q151&gt;0,"Increase insulation thickness or reduce opening area to cut heat loss",IF(R151&gt;0,"Increase shading/ventilation or reduce solar-facing openings to cut heat gain","Design meets estimated comfort band without major changes"))</f>
        <v>Design meets estimated comfort band without major changes</v>
      </c>
      <c r="X151" s="5" t="s">
        <v>555</v>
      </c>
    </row>
    <row r="152" customFormat="false" ht="15" hidden="false" customHeight="false" outlineLevel="0" collapsed="false">
      <c r="A152" s="5" t="str">
        <f aca="false">Combined_Scenarios!A152</f>
        <v>S151</v>
      </c>
      <c r="B152" s="5" t="n">
        <f aca="false">0.5+Combined_Scenarios!AA152*10</f>
        <v>1.17307692307692</v>
      </c>
      <c r="C152" s="5" t="n">
        <f aca="false">0.33*B152*Combined_Scenarios!Z152</f>
        <v>11.3811923076923</v>
      </c>
      <c r="D152" s="5" t="n">
        <f aca="false">Combined_Scenarios!W152*Combined_Scenarios!X152</f>
        <v>27.3475258918297</v>
      </c>
      <c r="E152" s="5" t="n">
        <f aca="false">C152+D152</f>
        <v>38.728718199522</v>
      </c>
      <c r="F152" s="5" t="n">
        <f aca="false">0.5*Combined_Scenarios!Y152</f>
        <v>1.225</v>
      </c>
      <c r="G152" s="5" t="n">
        <f aca="false">Combined_Scenarios!K152*F152</f>
        <v>193.958333333333</v>
      </c>
      <c r="H152" s="5" t="n">
        <f aca="false">Combined_Scenarios!H152+IF(E152=0,0,G152/E152)</f>
        <v>21.0081268461843</v>
      </c>
      <c r="I152" s="5" t="n">
        <f aca="false">H152-Combined_Scenarios!H152</f>
        <v>5.00812684618432</v>
      </c>
      <c r="J152" s="5" t="n">
        <f aca="false">E152*I152</f>
        <v>193.958333333333</v>
      </c>
      <c r="K152" s="5" t="n">
        <f aca="false">0.31*Combined_Scenarios!H152+17.8</f>
        <v>22.76</v>
      </c>
      <c r="L152" s="5" t="n">
        <f aca="false">H152-K152</f>
        <v>-1.75187315381568</v>
      </c>
      <c r="M152" s="5" t="str">
        <f aca="false">IF(AND(H152&gt;=12,H152&lt;=35),"Within safe range","Outside safe range")</f>
        <v>Within safe range</v>
      </c>
      <c r="N152" s="5" t="n">
        <f aca="false">MAX(0,100-ABS(L152)*8)</f>
        <v>85.9850147694745</v>
      </c>
      <c r="O152" s="5" t="n">
        <f aca="false">MAX(-3,MIN(3,L152/3))</f>
        <v>-0.583957717938561</v>
      </c>
      <c r="P152" s="5" t="n">
        <f aca="false">100-95*EXP(-(0.03353*O152^4+0.2179*O152^2))</f>
        <v>12.1463381567698</v>
      </c>
      <c r="Q152" s="5" t="n">
        <f aca="false">IF(H152&lt;18,E152*(18-H152),0)</f>
        <v>0</v>
      </c>
      <c r="R152" s="5" t="n">
        <f aca="false">IF(H152&gt;26,E152*(H152-26),0)</f>
        <v>0</v>
      </c>
      <c r="S152" s="5" t="n">
        <f aca="false">Q152+R152</f>
        <v>0</v>
      </c>
      <c r="T152" s="5" t="n">
        <f aca="false">MAX(0,100-S152/5)</f>
        <v>100</v>
      </c>
      <c r="U152" s="5" t="n">
        <f aca="false">(N152+T152)/2</f>
        <v>92.9925073847373</v>
      </c>
      <c r="V152" s="5" t="str">
        <f aca="false">IF(U152&gt;=60,"Recommended","Not Recommended")</f>
        <v>Recommended</v>
      </c>
      <c r="W152" s="5" t="str">
        <f aca="false">IF(Q152&gt;0,"Increase insulation thickness or reduce opening area to cut heat loss",IF(R152&gt;0,"Increase shading/ventilation or reduce solar-facing openings to cut heat gain","Design meets estimated comfort band without major changes"))</f>
        <v>Design meets estimated comfort band without major changes</v>
      </c>
      <c r="X152" s="5" t="s">
        <v>555</v>
      </c>
    </row>
    <row r="153" customFormat="false" ht="15" hidden="false" customHeight="false" outlineLevel="0" collapsed="false">
      <c r="A153" s="5" t="str">
        <f aca="false">Combined_Scenarios!A153</f>
        <v>S152</v>
      </c>
      <c r="B153" s="5" t="n">
        <f aca="false">0.5+Combined_Scenarios!AA153*10</f>
        <v>1.17307692307692</v>
      </c>
      <c r="C153" s="5" t="n">
        <f aca="false">0.33*B153*Combined_Scenarios!Z153</f>
        <v>11.3811923076923</v>
      </c>
      <c r="D153" s="5" t="n">
        <f aca="false">Combined_Scenarios!W153*Combined_Scenarios!X153</f>
        <v>27.3475258918297</v>
      </c>
      <c r="E153" s="5" t="n">
        <f aca="false">C153+D153</f>
        <v>38.728718199522</v>
      </c>
      <c r="F153" s="5" t="n">
        <f aca="false">0.5*Combined_Scenarios!Y153</f>
        <v>1.225</v>
      </c>
      <c r="G153" s="5" t="n">
        <f aca="false">Combined_Scenarios!K153*F153</f>
        <v>245</v>
      </c>
      <c r="H153" s="5" t="n">
        <f aca="false">Combined_Scenarios!H153+IF(E153=0,0,G153/E153)</f>
        <v>31.3260549636012</v>
      </c>
      <c r="I153" s="5" t="n">
        <f aca="false">H153-Combined_Scenarios!H153</f>
        <v>6.32605496360124</v>
      </c>
      <c r="J153" s="5" t="n">
        <f aca="false">E153*I153</f>
        <v>245</v>
      </c>
      <c r="K153" s="5" t="n">
        <f aca="false">0.31*Combined_Scenarios!H153+17.8</f>
        <v>25.55</v>
      </c>
      <c r="L153" s="5" t="n">
        <f aca="false">H153-K153</f>
        <v>5.77605496360124</v>
      </c>
      <c r="M153" s="5" t="str">
        <f aca="false">IF(AND(H153&gt;=12,H153&lt;=35),"Within safe range","Outside safe range")</f>
        <v>Within safe range</v>
      </c>
      <c r="N153" s="5" t="n">
        <f aca="false">MAX(0,100-ABS(L153)*8)</f>
        <v>53.7915602911901</v>
      </c>
      <c r="O153" s="5" t="n">
        <f aca="false">MAX(-3,MIN(3,L153/3))</f>
        <v>1.92535165453375</v>
      </c>
      <c r="P153" s="5" t="n">
        <f aca="false">100-95*EXP(-(0.03353*O153^4+0.2179*O153^2))</f>
        <v>73.2812065078063</v>
      </c>
      <c r="Q153" s="5" t="n">
        <f aca="false">IF(H153&lt;18,E153*(18-H153),0)</f>
        <v>0</v>
      </c>
      <c r="R153" s="5" t="n">
        <f aca="false">IF(H153&gt;26,E153*(H153-26),0)</f>
        <v>206.271281800478</v>
      </c>
      <c r="S153" s="5" t="n">
        <f aca="false">Q153+R153</f>
        <v>206.271281800478</v>
      </c>
      <c r="T153" s="5" t="n">
        <f aca="false">MAX(0,100-S153/5)</f>
        <v>58.7457436399044</v>
      </c>
      <c r="U153" s="5" t="n">
        <f aca="false">(N153+T153)/2</f>
        <v>56.2686519655472</v>
      </c>
      <c r="V153" s="5" t="str">
        <f aca="false">IF(U153&gt;=60,"Recommended","Not Recommended")</f>
        <v>Not Recommended</v>
      </c>
      <c r="W153" s="5" t="str">
        <f aca="false">IF(Q153&gt;0,"Increase insulation thickness or reduce opening area to cut heat loss",IF(R153&gt;0,"Increase shading/ventilation or reduce solar-facing openings to cut heat gain","Design meets estimated comfort band without major changes"))</f>
        <v>Increase shading/ventilation or reduce solar-facing openings to cut heat gain</v>
      </c>
      <c r="X153" s="5" t="s">
        <v>555</v>
      </c>
    </row>
    <row r="154" customFormat="false" ht="15" hidden="false" customHeight="false" outlineLevel="0" collapsed="false">
      <c r="A154" s="5" t="str">
        <f aca="false">Combined_Scenarios!A154</f>
        <v>S153</v>
      </c>
      <c r="B154" s="5" t="n">
        <f aca="false">0.5+Combined_Scenarios!AA154*10</f>
        <v>1.17307692307692</v>
      </c>
      <c r="C154" s="5" t="n">
        <f aca="false">0.33*B154*Combined_Scenarios!Z154</f>
        <v>11.3811923076923</v>
      </c>
      <c r="D154" s="5" t="n">
        <f aca="false">Combined_Scenarios!W154*Combined_Scenarios!X154</f>
        <v>27.3475258918297</v>
      </c>
      <c r="E154" s="5" t="n">
        <f aca="false">C154+D154</f>
        <v>38.728718199522</v>
      </c>
      <c r="F154" s="5" t="n">
        <f aca="false">0.5*Combined_Scenarios!Y154</f>
        <v>1.225</v>
      </c>
      <c r="G154" s="5" t="n">
        <f aca="false">Combined_Scenarios!K154*F154</f>
        <v>193.958333333333</v>
      </c>
      <c r="H154" s="5" t="n">
        <f aca="false">Combined_Scenarios!H154+IF(E154=0,0,G154/E154)</f>
        <v>33.0081268461843</v>
      </c>
      <c r="I154" s="5" t="n">
        <f aca="false">H154-Combined_Scenarios!H154</f>
        <v>5.00812684618432</v>
      </c>
      <c r="J154" s="5" t="n">
        <f aca="false">E154*I154</f>
        <v>193.958333333333</v>
      </c>
      <c r="K154" s="5" t="n">
        <f aca="false">0.31*Combined_Scenarios!H154+17.8</f>
        <v>26.48</v>
      </c>
      <c r="L154" s="5" t="n">
        <f aca="false">H154-K154</f>
        <v>6.52812684618432</v>
      </c>
      <c r="M154" s="5" t="str">
        <f aca="false">IF(AND(H154&gt;=12,H154&lt;=35),"Within safe range","Outside safe range")</f>
        <v>Within safe range</v>
      </c>
      <c r="N154" s="5" t="n">
        <f aca="false">MAX(0,100-ABS(L154)*8)</f>
        <v>47.7749852305255</v>
      </c>
      <c r="O154" s="5" t="n">
        <f aca="false">MAX(-3,MIN(3,L154/3))</f>
        <v>2.17604228206144</v>
      </c>
      <c r="P154" s="5" t="n">
        <f aca="false">100-95*EXP(-(0.03353*O154^4+0.2179*O154^2))</f>
        <v>84.0368239842516</v>
      </c>
      <c r="Q154" s="5" t="n">
        <f aca="false">IF(H154&lt;18,E154*(18-H154),0)</f>
        <v>0</v>
      </c>
      <c r="R154" s="5" t="n">
        <f aca="false">IF(H154&gt;26,E154*(H154-26),0)</f>
        <v>271.415769732377</v>
      </c>
      <c r="S154" s="5" t="n">
        <f aca="false">Q154+R154</f>
        <v>271.415769732377</v>
      </c>
      <c r="T154" s="5" t="n">
        <f aca="false">MAX(0,100-S154/5)</f>
        <v>45.7168460535245</v>
      </c>
      <c r="U154" s="5" t="n">
        <f aca="false">(N154+T154)/2</f>
        <v>46.745915642025</v>
      </c>
      <c r="V154" s="5" t="str">
        <f aca="false">IF(U154&gt;=60,"Recommended","Not Recommended")</f>
        <v>Not Recommended</v>
      </c>
      <c r="W154" s="5" t="str">
        <f aca="false">IF(Q154&gt;0,"Increase insulation thickness or reduce opening area to cut heat loss",IF(R154&gt;0,"Increase shading/ventilation or reduce solar-facing openings to cut heat gain","Design meets estimated comfort band without major changes"))</f>
        <v>Increase shading/ventilation or reduce solar-facing openings to cut heat gain</v>
      </c>
      <c r="X154" s="5" t="s">
        <v>555</v>
      </c>
    </row>
    <row r="155" customFormat="false" ht="15" hidden="false" customHeight="false" outlineLevel="0" collapsed="false">
      <c r="A155" s="5" t="str">
        <f aca="false">Combined_Scenarios!A155</f>
        <v>S154</v>
      </c>
      <c r="B155" s="5" t="n">
        <f aca="false">0.5+Combined_Scenarios!AA155*10</f>
        <v>1.17307692307692</v>
      </c>
      <c r="C155" s="5" t="n">
        <f aca="false">0.33*B155*Combined_Scenarios!Z155</f>
        <v>11.3811923076923</v>
      </c>
      <c r="D155" s="5" t="n">
        <f aca="false">Combined_Scenarios!W155*Combined_Scenarios!X155</f>
        <v>27.3475258918297</v>
      </c>
      <c r="E155" s="5" t="n">
        <f aca="false">C155+D155</f>
        <v>38.728718199522</v>
      </c>
      <c r="F155" s="5" t="n">
        <f aca="false">0.5*Combined_Scenarios!Y155</f>
        <v>1.225</v>
      </c>
      <c r="G155" s="5" t="n">
        <f aca="false">Combined_Scenarios!K155*F155</f>
        <v>204.166666666667</v>
      </c>
      <c r="H155" s="5" t="n">
        <f aca="false">Combined_Scenarios!H155+IF(E155=0,0,G155/E155)</f>
        <v>33.2717124696677</v>
      </c>
      <c r="I155" s="5" t="n">
        <f aca="false">H155-Combined_Scenarios!H155</f>
        <v>5.27171246966771</v>
      </c>
      <c r="J155" s="5" t="n">
        <f aca="false">E155*I155</f>
        <v>204.166666666667</v>
      </c>
      <c r="K155" s="5" t="n">
        <f aca="false">0.31*Combined_Scenarios!H155+17.8</f>
        <v>26.48</v>
      </c>
      <c r="L155" s="5" t="n">
        <f aca="false">H155-K155</f>
        <v>6.7917124696677</v>
      </c>
      <c r="M155" s="5" t="str">
        <f aca="false">IF(AND(H155&gt;=12,H155&lt;=35),"Within safe range","Outside safe range")</f>
        <v>Within safe range</v>
      </c>
      <c r="N155" s="5" t="n">
        <f aca="false">MAX(0,100-ABS(L155)*8)</f>
        <v>45.6663002426584</v>
      </c>
      <c r="O155" s="5" t="n">
        <f aca="false">MAX(-3,MIN(3,L155/3))</f>
        <v>2.2639041565559</v>
      </c>
      <c r="P155" s="5" t="n">
        <f aca="false">100-95*EXP(-(0.03353*O155^4+0.2179*O155^2))</f>
        <v>87.1118816145244</v>
      </c>
      <c r="Q155" s="5" t="n">
        <f aca="false">IF(H155&lt;18,E155*(18-H155),0)</f>
        <v>0</v>
      </c>
      <c r="R155" s="5" t="n">
        <f aca="false">IF(H155&gt;26,E155*(H155-26),0)</f>
        <v>281.624103065711</v>
      </c>
      <c r="S155" s="5" t="n">
        <f aca="false">Q155+R155</f>
        <v>281.624103065711</v>
      </c>
      <c r="T155" s="5" t="n">
        <f aca="false">MAX(0,100-S155/5)</f>
        <v>43.6751793868579</v>
      </c>
      <c r="U155" s="5" t="n">
        <f aca="false">(N155+T155)/2</f>
        <v>44.6707398147581</v>
      </c>
      <c r="V155" s="5" t="str">
        <f aca="false">IF(U155&gt;=60,"Recommended","Not Recommended")</f>
        <v>Not Recommended</v>
      </c>
      <c r="W155" s="5" t="str">
        <f aca="false">IF(Q155&gt;0,"Increase insulation thickness or reduce opening area to cut heat loss",IF(R155&gt;0,"Increase shading/ventilation or reduce solar-facing openings to cut heat gain","Design meets estimated comfort band without major changes"))</f>
        <v>Increase shading/ventilation or reduce solar-facing openings to cut heat gain</v>
      </c>
      <c r="X155" s="5" t="s">
        <v>555</v>
      </c>
    </row>
    <row r="156" customFormat="false" ht="15" hidden="false" customHeight="false" outlineLevel="0" collapsed="false">
      <c r="A156" s="5" t="str">
        <f aca="false">Combined_Scenarios!A156</f>
        <v>S155</v>
      </c>
      <c r="B156" s="5" t="n">
        <f aca="false">0.5+Combined_Scenarios!AA156*10</f>
        <v>1.17307692307692</v>
      </c>
      <c r="C156" s="5" t="n">
        <f aca="false">0.33*B156*Combined_Scenarios!Z156</f>
        <v>11.3811923076923</v>
      </c>
      <c r="D156" s="5" t="n">
        <f aca="false">Combined_Scenarios!W156*Combined_Scenarios!X156</f>
        <v>27.3475258918297</v>
      </c>
      <c r="E156" s="5" t="n">
        <f aca="false">C156+D156</f>
        <v>38.728718199522</v>
      </c>
      <c r="F156" s="5" t="n">
        <f aca="false">0.5*Combined_Scenarios!Y156</f>
        <v>1.225</v>
      </c>
      <c r="G156" s="5" t="n">
        <f aca="false">Combined_Scenarios!K156*F156</f>
        <v>193.958333333333</v>
      </c>
      <c r="H156" s="5" t="n">
        <f aca="false">Combined_Scenarios!H156+IF(E156=0,0,G156/E156)</f>
        <v>25.0081268461843</v>
      </c>
      <c r="I156" s="5" t="n">
        <f aca="false">H156-Combined_Scenarios!H156</f>
        <v>5.00812684618432</v>
      </c>
      <c r="J156" s="5" t="n">
        <f aca="false">E156*I156</f>
        <v>193.958333333333</v>
      </c>
      <c r="K156" s="5" t="n">
        <f aca="false">0.31*Combined_Scenarios!H156+17.8</f>
        <v>24</v>
      </c>
      <c r="L156" s="5" t="n">
        <f aca="false">H156-K156</f>
        <v>1.00812684618432</v>
      </c>
      <c r="M156" s="5" t="str">
        <f aca="false">IF(AND(H156&gt;=12,H156&lt;=35),"Within safe range","Outside safe range")</f>
        <v>Within safe range</v>
      </c>
      <c r="N156" s="5" t="n">
        <f aca="false">MAX(0,100-ABS(L156)*8)</f>
        <v>91.9349852305255</v>
      </c>
      <c r="O156" s="5" t="n">
        <f aca="false">MAX(-3,MIN(3,L156/3))</f>
        <v>0.336042282061439</v>
      </c>
      <c r="P156" s="5" t="n">
        <f aca="false">100-95*EXP(-(0.03353*O156^4+0.2179*O156^2))</f>
        <v>7.34869021895354</v>
      </c>
      <c r="Q156" s="5" t="n">
        <f aca="false">IF(H156&lt;18,E156*(18-H156),0)</f>
        <v>0</v>
      </c>
      <c r="R156" s="5" t="n">
        <f aca="false">IF(H156&gt;26,E156*(H156-26),0)</f>
        <v>0</v>
      </c>
      <c r="S156" s="5" t="n">
        <f aca="false">Q156+R156</f>
        <v>0</v>
      </c>
      <c r="T156" s="5" t="n">
        <f aca="false">MAX(0,100-S156/5)</f>
        <v>100</v>
      </c>
      <c r="U156" s="5" t="n">
        <f aca="false">(N156+T156)/2</f>
        <v>95.9674926152627</v>
      </c>
      <c r="V156" s="5" t="str">
        <f aca="false">IF(U156&gt;=60,"Recommended","Not Recommended")</f>
        <v>Recommended</v>
      </c>
      <c r="W156" s="5" t="str">
        <f aca="false">IF(Q156&gt;0,"Increase insulation thickness or reduce opening area to cut heat loss",IF(R156&gt;0,"Increase shading/ventilation or reduce solar-facing openings to cut heat gain","Design meets estimated comfort band without major changes"))</f>
        <v>Design meets estimated comfort band without major changes</v>
      </c>
      <c r="X156" s="5" t="s">
        <v>555</v>
      </c>
    </row>
    <row r="157" customFormat="false" ht="15" hidden="false" customHeight="false" outlineLevel="0" collapsed="false">
      <c r="A157" s="5" t="str">
        <f aca="false">Combined_Scenarios!A157</f>
        <v>S156</v>
      </c>
      <c r="B157" s="5" t="n">
        <f aca="false">0.5+Combined_Scenarios!AA157*10</f>
        <v>1.14814814814815</v>
      </c>
      <c r="C157" s="5" t="n">
        <f aca="false">0.33*B157*Combined_Scenarios!Z157</f>
        <v>22.7333333333333</v>
      </c>
      <c r="D157" s="5" t="n">
        <f aca="false">Combined_Scenarios!W157*Combined_Scenarios!X157</f>
        <v>40.6789413118527</v>
      </c>
      <c r="E157" s="5" t="n">
        <f aca="false">C157+D157</f>
        <v>63.412274645186</v>
      </c>
      <c r="F157" s="5" t="n">
        <f aca="false">0.5*Combined_Scenarios!Y157</f>
        <v>1.75</v>
      </c>
      <c r="G157" s="5" t="n">
        <f aca="false">Combined_Scenarios!K157*F157</f>
        <v>277.083333333333</v>
      </c>
      <c r="H157" s="5" t="n">
        <f aca="false">Combined_Scenarios!H157+IF(E157=0,0,G157/E157)</f>
        <v>20.3695536058864</v>
      </c>
      <c r="I157" s="5" t="n">
        <f aca="false">H157-Combined_Scenarios!H157</f>
        <v>4.36955360588643</v>
      </c>
      <c r="J157" s="5" t="n">
        <f aca="false">E157*I157</f>
        <v>277.083333333333</v>
      </c>
      <c r="K157" s="5" t="n">
        <f aca="false">0.31*Combined_Scenarios!H157+17.8</f>
        <v>22.76</v>
      </c>
      <c r="L157" s="5" t="n">
        <f aca="false">H157-K157</f>
        <v>-2.39044639411357</v>
      </c>
      <c r="M157" s="5" t="str">
        <f aca="false">IF(AND(H157&gt;=12,H157&lt;=35),"Within safe range","Outside safe range")</f>
        <v>Within safe range</v>
      </c>
      <c r="N157" s="5" t="n">
        <f aca="false">MAX(0,100-ABS(L157)*8)</f>
        <v>80.8764288470914</v>
      </c>
      <c r="O157" s="5" t="n">
        <f aca="false">MAX(-3,MIN(3,L157/3))</f>
        <v>-0.796815464704524</v>
      </c>
      <c r="P157" s="5" t="n">
        <f aca="false">100-95*EXP(-(0.03353*O157^4+0.2179*O157^2))</f>
        <v>18.3850522682865</v>
      </c>
      <c r="Q157" s="5" t="n">
        <f aca="false">IF(H157&lt;18,E157*(18-H157),0)</f>
        <v>0</v>
      </c>
      <c r="R157" s="5" t="n">
        <f aca="false">IF(H157&gt;26,E157*(H157-26),0)</f>
        <v>0</v>
      </c>
      <c r="S157" s="5" t="n">
        <f aca="false">Q157+R157</f>
        <v>0</v>
      </c>
      <c r="T157" s="5" t="n">
        <f aca="false">MAX(0,100-S157/5)</f>
        <v>100</v>
      </c>
      <c r="U157" s="5" t="n">
        <f aca="false">(N157+T157)/2</f>
        <v>90.4382144235457</v>
      </c>
      <c r="V157" s="5" t="str">
        <f aca="false">IF(U157&gt;=60,"Recommended","Not Recommended")</f>
        <v>Recommended</v>
      </c>
      <c r="W157" s="5" t="str">
        <f aca="false">IF(Q157&gt;0,"Increase insulation thickness or reduce opening area to cut heat loss",IF(R157&gt;0,"Increase shading/ventilation or reduce solar-facing openings to cut heat gain","Design meets estimated comfort band without major changes"))</f>
        <v>Design meets estimated comfort band without major changes</v>
      </c>
      <c r="X157" s="5" t="s">
        <v>555</v>
      </c>
    </row>
    <row r="158" customFormat="false" ht="15" hidden="false" customHeight="false" outlineLevel="0" collapsed="false">
      <c r="A158" s="5" t="str">
        <f aca="false">Combined_Scenarios!A158</f>
        <v>S157</v>
      </c>
      <c r="B158" s="5" t="n">
        <f aca="false">0.5+Combined_Scenarios!AA158*10</f>
        <v>1.14814814814815</v>
      </c>
      <c r="C158" s="5" t="n">
        <f aca="false">0.33*B158*Combined_Scenarios!Z158</f>
        <v>22.7333333333333</v>
      </c>
      <c r="D158" s="5" t="n">
        <f aca="false">Combined_Scenarios!W158*Combined_Scenarios!X158</f>
        <v>40.6789413118527</v>
      </c>
      <c r="E158" s="5" t="n">
        <f aca="false">C158+D158</f>
        <v>63.412274645186</v>
      </c>
      <c r="F158" s="5" t="n">
        <f aca="false">0.5*Combined_Scenarios!Y158</f>
        <v>1.75</v>
      </c>
      <c r="G158" s="5" t="n">
        <f aca="false">Combined_Scenarios!K158*F158</f>
        <v>350</v>
      </c>
      <c r="H158" s="5" t="n">
        <f aca="false">Combined_Scenarios!H158+IF(E158=0,0,G158/E158)</f>
        <v>30.5194361337513</v>
      </c>
      <c r="I158" s="5" t="n">
        <f aca="false">H158-Combined_Scenarios!H158</f>
        <v>5.51943613375128</v>
      </c>
      <c r="J158" s="5" t="n">
        <f aca="false">E158*I158</f>
        <v>350</v>
      </c>
      <c r="K158" s="5" t="n">
        <f aca="false">0.31*Combined_Scenarios!H158+17.8</f>
        <v>25.55</v>
      </c>
      <c r="L158" s="5" t="n">
        <f aca="false">H158-K158</f>
        <v>4.96943613375128</v>
      </c>
      <c r="M158" s="5" t="str">
        <f aca="false">IF(AND(H158&gt;=12,H158&lt;=35),"Within safe range","Outside safe range")</f>
        <v>Within safe range</v>
      </c>
      <c r="N158" s="5" t="n">
        <f aca="false">MAX(0,100-ABS(L158)*8)</f>
        <v>60.2445109299898</v>
      </c>
      <c r="O158" s="5" t="n">
        <f aca="false">MAX(-3,MIN(3,L158/3))</f>
        <v>1.65647871125043</v>
      </c>
      <c r="P158" s="5" t="n">
        <f aca="false">100-95*EXP(-(0.03353*O158^4+0.2179*O158^2))</f>
        <v>59.4098506344592</v>
      </c>
      <c r="Q158" s="5" t="n">
        <f aca="false">IF(H158&lt;18,E158*(18-H158),0)</f>
        <v>0</v>
      </c>
      <c r="R158" s="5" t="n">
        <f aca="false">IF(H158&gt;26,E158*(H158-26),0)</f>
        <v>286.587725354814</v>
      </c>
      <c r="S158" s="5" t="n">
        <f aca="false">Q158+R158</f>
        <v>286.587725354814</v>
      </c>
      <c r="T158" s="5" t="n">
        <f aca="false">MAX(0,100-S158/5)</f>
        <v>42.6824549290372</v>
      </c>
      <c r="U158" s="5" t="n">
        <f aca="false">(N158+T158)/2</f>
        <v>51.4634829295135</v>
      </c>
      <c r="V158" s="5" t="str">
        <f aca="false">IF(U158&gt;=60,"Recommended","Not Recommended")</f>
        <v>Not Recommended</v>
      </c>
      <c r="W158" s="5" t="str">
        <f aca="false">IF(Q158&gt;0,"Increase insulation thickness or reduce opening area to cut heat loss",IF(R158&gt;0,"Increase shading/ventilation or reduce solar-facing openings to cut heat gain","Design meets estimated comfort band without major changes"))</f>
        <v>Increase shading/ventilation or reduce solar-facing openings to cut heat gain</v>
      </c>
      <c r="X158" s="5" t="s">
        <v>555</v>
      </c>
    </row>
    <row r="159" customFormat="false" ht="15" hidden="false" customHeight="false" outlineLevel="0" collapsed="false">
      <c r="A159" s="5" t="str">
        <f aca="false">Combined_Scenarios!A159</f>
        <v>S158</v>
      </c>
      <c r="B159" s="5" t="n">
        <f aca="false">0.5+Combined_Scenarios!AA159*10</f>
        <v>1.14814814814815</v>
      </c>
      <c r="C159" s="5" t="n">
        <f aca="false">0.33*B159*Combined_Scenarios!Z159</f>
        <v>22.7333333333333</v>
      </c>
      <c r="D159" s="5" t="n">
        <f aca="false">Combined_Scenarios!W159*Combined_Scenarios!X159</f>
        <v>40.6789413118527</v>
      </c>
      <c r="E159" s="5" t="n">
        <f aca="false">C159+D159</f>
        <v>63.412274645186</v>
      </c>
      <c r="F159" s="5" t="n">
        <f aca="false">0.5*Combined_Scenarios!Y159</f>
        <v>1.75</v>
      </c>
      <c r="G159" s="5" t="n">
        <f aca="false">Combined_Scenarios!K159*F159</f>
        <v>277.083333333333</v>
      </c>
      <c r="H159" s="5" t="n">
        <f aca="false">Combined_Scenarios!H159+IF(E159=0,0,G159/E159)</f>
        <v>32.3695536058864</v>
      </c>
      <c r="I159" s="5" t="n">
        <f aca="false">H159-Combined_Scenarios!H159</f>
        <v>4.36955360588643</v>
      </c>
      <c r="J159" s="5" t="n">
        <f aca="false">E159*I159</f>
        <v>277.083333333333</v>
      </c>
      <c r="K159" s="5" t="n">
        <f aca="false">0.31*Combined_Scenarios!H159+17.8</f>
        <v>26.48</v>
      </c>
      <c r="L159" s="5" t="n">
        <f aca="false">H159-K159</f>
        <v>5.88955360588643</v>
      </c>
      <c r="M159" s="5" t="str">
        <f aca="false">IF(AND(H159&gt;=12,H159&lt;=35),"Within safe range","Outside safe range")</f>
        <v>Within safe range</v>
      </c>
      <c r="N159" s="5" t="n">
        <f aca="false">MAX(0,100-ABS(L159)*8)</f>
        <v>52.8835711529086</v>
      </c>
      <c r="O159" s="5" t="n">
        <f aca="false">MAX(-3,MIN(3,L159/3))</f>
        <v>1.96318453529548</v>
      </c>
      <c r="P159" s="5" t="n">
        <f aca="false">100-95*EXP(-(0.03353*O159^4+0.2179*O159^2))</f>
        <v>75.071441902262</v>
      </c>
      <c r="Q159" s="5" t="n">
        <f aca="false">IF(H159&lt;18,E159*(18-H159),0)</f>
        <v>0</v>
      </c>
      <c r="R159" s="5" t="n">
        <f aca="false">IF(H159&gt;26,E159*(H159-26),0)</f>
        <v>403.907882623705</v>
      </c>
      <c r="S159" s="5" t="n">
        <f aca="false">Q159+R159</f>
        <v>403.907882623705</v>
      </c>
      <c r="T159" s="5" t="n">
        <f aca="false">MAX(0,100-S159/5)</f>
        <v>19.2184234752589</v>
      </c>
      <c r="U159" s="5" t="n">
        <f aca="false">(N159+T159)/2</f>
        <v>36.0509973140837</v>
      </c>
      <c r="V159" s="5" t="str">
        <f aca="false">IF(U159&gt;=60,"Recommended","Not Recommended")</f>
        <v>Not Recommended</v>
      </c>
      <c r="W159" s="5" t="str">
        <f aca="false">IF(Q159&gt;0,"Increase insulation thickness or reduce opening area to cut heat loss",IF(R159&gt;0,"Increase shading/ventilation or reduce solar-facing openings to cut heat gain","Design meets estimated comfort band without major changes"))</f>
        <v>Increase shading/ventilation or reduce solar-facing openings to cut heat gain</v>
      </c>
      <c r="X159" s="5" t="s">
        <v>555</v>
      </c>
    </row>
    <row r="160" customFormat="false" ht="15" hidden="false" customHeight="false" outlineLevel="0" collapsed="false">
      <c r="A160" s="5" t="str">
        <f aca="false">Combined_Scenarios!A160</f>
        <v>S159</v>
      </c>
      <c r="B160" s="5" t="n">
        <f aca="false">0.5+Combined_Scenarios!AA160*10</f>
        <v>1.14814814814815</v>
      </c>
      <c r="C160" s="5" t="n">
        <f aca="false">0.33*B160*Combined_Scenarios!Z160</f>
        <v>22.7333333333333</v>
      </c>
      <c r="D160" s="5" t="n">
        <f aca="false">Combined_Scenarios!W160*Combined_Scenarios!X160</f>
        <v>40.6789413118527</v>
      </c>
      <c r="E160" s="5" t="n">
        <f aca="false">C160+D160</f>
        <v>63.412274645186</v>
      </c>
      <c r="F160" s="5" t="n">
        <f aca="false">0.5*Combined_Scenarios!Y160</f>
        <v>1.75</v>
      </c>
      <c r="G160" s="5" t="n">
        <f aca="false">Combined_Scenarios!K160*F160</f>
        <v>291.666666666667</v>
      </c>
      <c r="H160" s="5" t="n">
        <f aca="false">Combined_Scenarios!H160+IF(E160=0,0,G160/E160)</f>
        <v>32.5995301114594</v>
      </c>
      <c r="I160" s="5" t="n">
        <f aca="false">H160-Combined_Scenarios!H160</f>
        <v>4.5995301114594</v>
      </c>
      <c r="J160" s="5" t="n">
        <f aca="false">E160*I160</f>
        <v>291.666666666667</v>
      </c>
      <c r="K160" s="5" t="n">
        <f aca="false">0.31*Combined_Scenarios!H160+17.8</f>
        <v>26.48</v>
      </c>
      <c r="L160" s="5" t="n">
        <f aca="false">H160-K160</f>
        <v>6.1195301114594</v>
      </c>
      <c r="M160" s="5" t="str">
        <f aca="false">IF(AND(H160&gt;=12,H160&lt;=35),"Within safe range","Outside safe range")</f>
        <v>Within safe range</v>
      </c>
      <c r="N160" s="5" t="n">
        <f aca="false">MAX(0,100-ABS(L160)*8)</f>
        <v>51.0437591083248</v>
      </c>
      <c r="O160" s="5" t="n">
        <f aca="false">MAX(-3,MIN(3,L160/3))</f>
        <v>2.03984337048647</v>
      </c>
      <c r="P160" s="5" t="n">
        <f aca="false">100-95*EXP(-(0.03353*O160^4+0.2179*O160^2))</f>
        <v>78.5295276349102</v>
      </c>
      <c r="Q160" s="5" t="n">
        <f aca="false">IF(H160&lt;18,E160*(18-H160),0)</f>
        <v>0</v>
      </c>
      <c r="R160" s="5" t="n">
        <f aca="false">IF(H160&gt;26,E160*(H160-26),0)</f>
        <v>418.491215957039</v>
      </c>
      <c r="S160" s="5" t="n">
        <f aca="false">Q160+R160</f>
        <v>418.491215957039</v>
      </c>
      <c r="T160" s="5" t="n">
        <f aca="false">MAX(0,100-S160/5)</f>
        <v>16.3017568085922</v>
      </c>
      <c r="U160" s="5" t="n">
        <f aca="false">(N160+T160)/2</f>
        <v>33.6727579584585</v>
      </c>
      <c r="V160" s="5" t="str">
        <f aca="false">IF(U160&gt;=60,"Recommended","Not Recommended")</f>
        <v>Not Recommended</v>
      </c>
      <c r="W160" s="5" t="str">
        <f aca="false">IF(Q160&gt;0,"Increase insulation thickness or reduce opening area to cut heat loss",IF(R160&gt;0,"Increase shading/ventilation or reduce solar-facing openings to cut heat gain","Design meets estimated comfort band without major changes"))</f>
        <v>Increase shading/ventilation or reduce solar-facing openings to cut heat gain</v>
      </c>
      <c r="X160" s="5" t="s">
        <v>555</v>
      </c>
    </row>
    <row r="161" customFormat="false" ht="15" hidden="false" customHeight="false" outlineLevel="0" collapsed="false">
      <c r="A161" s="5" t="str">
        <f aca="false">Combined_Scenarios!A161</f>
        <v>S160</v>
      </c>
      <c r="B161" s="5" t="n">
        <f aca="false">0.5+Combined_Scenarios!AA161*10</f>
        <v>1.14814814814815</v>
      </c>
      <c r="C161" s="5" t="n">
        <f aca="false">0.33*B161*Combined_Scenarios!Z161</f>
        <v>22.7333333333333</v>
      </c>
      <c r="D161" s="5" t="n">
        <f aca="false">Combined_Scenarios!W161*Combined_Scenarios!X161</f>
        <v>40.6789413118527</v>
      </c>
      <c r="E161" s="5" t="n">
        <f aca="false">C161+D161</f>
        <v>63.412274645186</v>
      </c>
      <c r="F161" s="5" t="n">
        <f aca="false">0.5*Combined_Scenarios!Y161</f>
        <v>1.75</v>
      </c>
      <c r="G161" s="5" t="n">
        <f aca="false">Combined_Scenarios!K161*F161</f>
        <v>277.083333333333</v>
      </c>
      <c r="H161" s="5" t="n">
        <f aca="false">Combined_Scenarios!H161+IF(E161=0,0,G161/E161)</f>
        <v>24.3695536058864</v>
      </c>
      <c r="I161" s="5" t="n">
        <f aca="false">H161-Combined_Scenarios!H161</f>
        <v>4.36955360588643</v>
      </c>
      <c r="J161" s="5" t="n">
        <f aca="false">E161*I161</f>
        <v>277.083333333333</v>
      </c>
      <c r="K161" s="5" t="n">
        <f aca="false">0.31*Combined_Scenarios!H161+17.8</f>
        <v>24</v>
      </c>
      <c r="L161" s="5" t="n">
        <f aca="false">H161-K161</f>
        <v>0.369553605886431</v>
      </c>
      <c r="M161" s="5" t="str">
        <f aca="false">IF(AND(H161&gt;=12,H161&lt;=35),"Within safe range","Outside safe range")</f>
        <v>Within safe range</v>
      </c>
      <c r="N161" s="5" t="n">
        <f aca="false">MAX(0,100-ABS(L161)*8)</f>
        <v>97.0435711529086</v>
      </c>
      <c r="O161" s="5" t="n">
        <f aca="false">MAX(-3,MIN(3,L161/3))</f>
        <v>0.123184535295477</v>
      </c>
      <c r="P161" s="5" t="n">
        <f aca="false">100-95*EXP(-(0.03353*O161^4+0.2179*O161^2))</f>
        <v>5.31433058252735</v>
      </c>
      <c r="Q161" s="5" t="n">
        <f aca="false">IF(H161&lt;18,E161*(18-H161),0)</f>
        <v>0</v>
      </c>
      <c r="R161" s="5" t="n">
        <f aca="false">IF(H161&gt;26,E161*(H161-26),0)</f>
        <v>0</v>
      </c>
      <c r="S161" s="5" t="n">
        <f aca="false">Q161+R161</f>
        <v>0</v>
      </c>
      <c r="T161" s="5" t="n">
        <f aca="false">MAX(0,100-S161/5)</f>
        <v>100</v>
      </c>
      <c r="U161" s="5" t="n">
        <f aca="false">(N161+T161)/2</f>
        <v>98.5217855764543</v>
      </c>
      <c r="V161" s="5" t="str">
        <f aca="false">IF(U161&gt;=60,"Recommended","Not Recommended")</f>
        <v>Recommended</v>
      </c>
      <c r="W161" s="5" t="str">
        <f aca="false">IF(Q161&gt;0,"Increase insulation thickness or reduce opening area to cut heat loss",IF(R161&gt;0,"Increase shading/ventilation or reduce solar-facing openings to cut heat gain","Design meets estimated comfort band without major changes"))</f>
        <v>Design meets estimated comfort band without major changes</v>
      </c>
      <c r="X161" s="5" t="s">
        <v>555</v>
      </c>
    </row>
    <row r="162" customFormat="false" ht="15" hidden="false" customHeight="false" outlineLevel="0" collapsed="false">
      <c r="A162" s="5" t="str">
        <f aca="false">Combined_Scenarios!A162</f>
        <v>S161</v>
      </c>
      <c r="B162" s="5" t="n">
        <f aca="false">0.5+Combined_Scenarios!AA162*10</f>
        <v>0.878787878787879</v>
      </c>
      <c r="C162" s="5" t="n">
        <f aca="false">0.33*B162*Combined_Scenarios!Z162</f>
        <v>5.742</v>
      </c>
      <c r="D162" s="5" t="n">
        <f aca="false">Combined_Scenarios!W162*Combined_Scenarios!X162</f>
        <v>120.952380952381</v>
      </c>
      <c r="E162" s="5" t="n">
        <f aca="false">C162+D162</f>
        <v>126.694380952381</v>
      </c>
      <c r="F162" s="5" t="n">
        <f aca="false">0.5*Combined_Scenarios!Y162</f>
        <v>0.5</v>
      </c>
      <c r="G162" s="5" t="n">
        <f aca="false">Combined_Scenarios!K162*F162</f>
        <v>83.3333333333333</v>
      </c>
      <c r="H162" s="5" t="n">
        <f aca="false">Combined_Scenarios!H162+IF(E162=0,0,G162/E162)</f>
        <v>-7.34224917705976</v>
      </c>
      <c r="I162" s="5" t="n">
        <f aca="false">H162-Combined_Scenarios!H162</f>
        <v>0.657750822940244</v>
      </c>
      <c r="J162" s="5" t="n">
        <f aca="false">E162*I162</f>
        <v>83.3333333333334</v>
      </c>
      <c r="K162" s="5" t="n">
        <f aca="false">0.31*Combined_Scenarios!H162+17.8</f>
        <v>15.32</v>
      </c>
      <c r="L162" s="5" t="n">
        <f aca="false">H162-K162</f>
        <v>-22.6622491770598</v>
      </c>
      <c r="M162" s="5" t="str">
        <f aca="false">IF(AND(H162&gt;=12,H162&lt;=35),"Within safe range","Outside safe range")</f>
        <v>Outside safe range</v>
      </c>
      <c r="N162" s="5" t="n">
        <f aca="false">MAX(0,100-ABS(L162)*8)</f>
        <v>0</v>
      </c>
      <c r="O162" s="5" t="n">
        <f aca="false">MAX(-3,MIN(3,L162/3))</f>
        <v>-3</v>
      </c>
      <c r="P162" s="5" t="n">
        <f aca="false">100-95*EXP(-(0.03353*O162^4+0.2179*O162^2))</f>
        <v>99.1158717152693</v>
      </c>
      <c r="Q162" s="5" t="n">
        <f aca="false">IF(H162&lt;18,E162*(18-H162),0)</f>
        <v>3210.72057142857</v>
      </c>
      <c r="R162" s="5" t="n">
        <f aca="false">IF(H162&gt;26,E162*(H162-26),0)</f>
        <v>0</v>
      </c>
      <c r="S162" s="5" t="n">
        <f aca="false">Q162+R162</f>
        <v>3210.72057142857</v>
      </c>
      <c r="T162" s="5" t="n">
        <f aca="false">MAX(0,100-S162/5)</f>
        <v>0</v>
      </c>
      <c r="U162" s="5" t="n">
        <f aca="false">(N162+T162)/2</f>
        <v>0</v>
      </c>
      <c r="V162" s="5" t="str">
        <f aca="false">IF(U162&gt;=60,"Recommended","Not Recommended")</f>
        <v>Not Recommended</v>
      </c>
      <c r="W162" s="5" t="str">
        <f aca="false">IF(Q162&gt;0,"Increase insulation thickness or reduce opening area to cut heat loss",IF(R162&gt;0,"Increase shading/ventilation or reduce solar-facing openings to cut heat gain","Design meets estimated comfort band without major changes"))</f>
        <v>Increase insulation thickness or reduce opening area to cut heat loss</v>
      </c>
      <c r="X162" s="5" t="s">
        <v>555</v>
      </c>
    </row>
    <row r="163" customFormat="false" ht="15" hidden="false" customHeight="false" outlineLevel="0" collapsed="false">
      <c r="A163" s="5" t="str">
        <f aca="false">Combined_Scenarios!A163</f>
        <v>S162</v>
      </c>
      <c r="B163" s="5" t="n">
        <f aca="false">0.5+Combined_Scenarios!AA163*10</f>
        <v>0.878787878787879</v>
      </c>
      <c r="C163" s="5" t="n">
        <f aca="false">0.33*B163*Combined_Scenarios!Z163</f>
        <v>5.742</v>
      </c>
      <c r="D163" s="5" t="n">
        <f aca="false">Combined_Scenarios!W163*Combined_Scenarios!X163</f>
        <v>120.952380952381</v>
      </c>
      <c r="E163" s="5" t="n">
        <f aca="false">C163+D163</f>
        <v>126.694380952381</v>
      </c>
      <c r="F163" s="5" t="n">
        <f aca="false">0.5*Combined_Scenarios!Y163</f>
        <v>0.5</v>
      </c>
      <c r="G163" s="5" t="n">
        <f aca="false">Combined_Scenarios!K163*F163</f>
        <v>150</v>
      </c>
      <c r="H163" s="5" t="n">
        <f aca="false">Combined_Scenarios!H163+IF(E163=0,0,G163/E163)</f>
        <v>17.1839514812924</v>
      </c>
      <c r="I163" s="5" t="n">
        <f aca="false">H163-Combined_Scenarios!H163</f>
        <v>1.18395148129244</v>
      </c>
      <c r="J163" s="5" t="n">
        <f aca="false">E163*I163</f>
        <v>150</v>
      </c>
      <c r="K163" s="5" t="n">
        <f aca="false">0.31*Combined_Scenarios!H163+17.8</f>
        <v>22.76</v>
      </c>
      <c r="L163" s="5" t="n">
        <f aca="false">H163-K163</f>
        <v>-5.57604851870756</v>
      </c>
      <c r="M163" s="5" t="str">
        <f aca="false">IF(AND(H163&gt;=12,H163&lt;=35),"Within safe range","Outside safe range")</f>
        <v>Within safe range</v>
      </c>
      <c r="N163" s="5" t="n">
        <f aca="false">MAX(0,100-ABS(L163)*8)</f>
        <v>55.3916118503395</v>
      </c>
      <c r="O163" s="5" t="n">
        <f aca="false">MAX(-3,MIN(3,L163/3))</f>
        <v>-1.85868283956919</v>
      </c>
      <c r="P163" s="5" t="n">
        <f aca="false">100-95*EXP(-(0.03353*O163^4+0.2179*O163^2))</f>
        <v>70.0083813382943</v>
      </c>
      <c r="Q163" s="5" t="n">
        <f aca="false">IF(H163&lt;18,E163*(18-H163),0)</f>
        <v>103.388761904762</v>
      </c>
      <c r="R163" s="5" t="n">
        <f aca="false">IF(H163&gt;26,E163*(H163-26),0)</f>
        <v>0</v>
      </c>
      <c r="S163" s="5" t="n">
        <f aca="false">Q163+R163</f>
        <v>103.388761904762</v>
      </c>
      <c r="T163" s="5" t="n">
        <f aca="false">MAX(0,100-S163/5)</f>
        <v>79.3222476190476</v>
      </c>
      <c r="U163" s="5" t="n">
        <f aca="false">(N163+T163)/2</f>
        <v>67.3569297346936</v>
      </c>
      <c r="V163" s="5" t="str">
        <f aca="false">IF(U163&gt;=60,"Recommended","Not Recommended")</f>
        <v>Recommended</v>
      </c>
      <c r="W163" s="5" t="str">
        <f aca="false">IF(Q163&gt;0,"Increase insulation thickness or reduce opening area to cut heat loss",IF(R163&gt;0,"Increase shading/ventilation or reduce solar-facing openings to cut heat gain","Design meets estimated comfort band without major changes"))</f>
        <v>Increase insulation thickness or reduce opening area to cut heat loss</v>
      </c>
      <c r="X163" s="5" t="s">
        <v>555</v>
      </c>
    </row>
    <row r="164" customFormat="false" ht="15" hidden="false" customHeight="false" outlineLevel="0" collapsed="false">
      <c r="A164" s="5" t="str">
        <f aca="false">Combined_Scenarios!A164</f>
        <v>S163</v>
      </c>
      <c r="B164" s="5" t="n">
        <f aca="false">0.5+Combined_Scenarios!AA164*10</f>
        <v>0.878787878787879</v>
      </c>
      <c r="C164" s="5" t="n">
        <f aca="false">0.33*B164*Combined_Scenarios!Z164</f>
        <v>5.742</v>
      </c>
      <c r="D164" s="5" t="n">
        <f aca="false">Combined_Scenarios!W164*Combined_Scenarios!X164</f>
        <v>120.952380952381</v>
      </c>
      <c r="E164" s="5" t="n">
        <f aca="false">C164+D164</f>
        <v>126.694380952381</v>
      </c>
      <c r="F164" s="5" t="n">
        <f aca="false">0.5*Combined_Scenarios!Y164</f>
        <v>0.5</v>
      </c>
      <c r="G164" s="5" t="n">
        <f aca="false">Combined_Scenarios!K164*F164</f>
        <v>125</v>
      </c>
      <c r="H164" s="5" t="n">
        <f aca="false">Combined_Scenarios!H164+IF(E164=0,0,G164/E164)</f>
        <v>14.9866262344104</v>
      </c>
      <c r="I164" s="5" t="n">
        <f aca="false">H164-Combined_Scenarios!H164</f>
        <v>0.986626234410366</v>
      </c>
      <c r="J164" s="5" t="n">
        <f aca="false">E164*I164</f>
        <v>125</v>
      </c>
      <c r="K164" s="5" t="n">
        <f aca="false">0.31*Combined_Scenarios!H164+17.8</f>
        <v>22.14</v>
      </c>
      <c r="L164" s="5" t="n">
        <f aca="false">H164-K164</f>
        <v>-7.15337376558964</v>
      </c>
      <c r="M164" s="5" t="str">
        <f aca="false">IF(AND(H164&gt;=12,H164&lt;=35),"Within safe range","Outside safe range")</f>
        <v>Within safe range</v>
      </c>
      <c r="N164" s="5" t="n">
        <f aca="false">MAX(0,100-ABS(L164)*8)</f>
        <v>42.7730098752829</v>
      </c>
      <c r="O164" s="5" t="n">
        <f aca="false">MAX(-3,MIN(3,L164/3))</f>
        <v>-2.38445792186321</v>
      </c>
      <c r="P164" s="5" t="n">
        <f aca="false">100-95*EXP(-(0.03353*O164^4+0.2179*O164^2))</f>
        <v>90.6901910746353</v>
      </c>
      <c r="Q164" s="5" t="n">
        <f aca="false">IF(H164&lt;18,E164*(18-H164),0)</f>
        <v>381.777523809524</v>
      </c>
      <c r="R164" s="5" t="n">
        <f aca="false">IF(H164&gt;26,E164*(H164-26),0)</f>
        <v>0</v>
      </c>
      <c r="S164" s="5" t="n">
        <f aca="false">Q164+R164</f>
        <v>381.777523809524</v>
      </c>
      <c r="T164" s="5" t="n">
        <f aca="false">MAX(0,100-S164/5)</f>
        <v>23.6444952380952</v>
      </c>
      <c r="U164" s="5" t="n">
        <f aca="false">(N164+T164)/2</f>
        <v>33.2087525566891</v>
      </c>
      <c r="V164" s="5" t="str">
        <f aca="false">IF(U164&gt;=60,"Recommended","Not Recommended")</f>
        <v>Not Recommended</v>
      </c>
      <c r="W164" s="5" t="str">
        <f aca="false">IF(Q164&gt;0,"Increase insulation thickness or reduce opening area to cut heat loss",IF(R164&gt;0,"Increase shading/ventilation or reduce solar-facing openings to cut heat gain","Design meets estimated comfort band without major changes"))</f>
        <v>Increase insulation thickness or reduce opening area to cut heat loss</v>
      </c>
      <c r="X164" s="5" t="s">
        <v>555</v>
      </c>
    </row>
    <row r="165" customFormat="false" ht="15" hidden="false" customHeight="false" outlineLevel="0" collapsed="false">
      <c r="A165" s="5" t="str">
        <f aca="false">Combined_Scenarios!A165</f>
        <v>S164</v>
      </c>
      <c r="B165" s="5" t="n">
        <f aca="false">0.5+Combined_Scenarios!AA165*10</f>
        <v>0.878787878787879</v>
      </c>
      <c r="C165" s="5" t="n">
        <f aca="false">0.33*B165*Combined_Scenarios!Z165</f>
        <v>5.742</v>
      </c>
      <c r="D165" s="5" t="n">
        <f aca="false">Combined_Scenarios!W165*Combined_Scenarios!X165</f>
        <v>120.952380952381</v>
      </c>
      <c r="E165" s="5" t="n">
        <f aca="false">C165+D165</f>
        <v>126.694380952381</v>
      </c>
      <c r="F165" s="5" t="n">
        <f aca="false">0.5*Combined_Scenarios!Y165</f>
        <v>0.5</v>
      </c>
      <c r="G165" s="5" t="n">
        <f aca="false">Combined_Scenarios!K165*F165</f>
        <v>93.75</v>
      </c>
      <c r="H165" s="5" t="n">
        <f aca="false">Combined_Scenarios!H165+IF(E165=0,0,G165/E165)</f>
        <v>25.7399696758078</v>
      </c>
      <c r="I165" s="5" t="n">
        <f aca="false">H165-Combined_Scenarios!H165</f>
        <v>0.739969675807775</v>
      </c>
      <c r="J165" s="5" t="n">
        <f aca="false">E165*I165</f>
        <v>93.75</v>
      </c>
      <c r="K165" s="5" t="n">
        <f aca="false">0.31*Combined_Scenarios!H165+17.8</f>
        <v>25.55</v>
      </c>
      <c r="L165" s="5" t="n">
        <f aca="false">H165-K165</f>
        <v>0.189969675807774</v>
      </c>
      <c r="M165" s="5" t="str">
        <f aca="false">IF(AND(H165&gt;=12,H165&lt;=35),"Within safe range","Outside safe range")</f>
        <v>Within safe range</v>
      </c>
      <c r="N165" s="5" t="n">
        <f aca="false">MAX(0,100-ABS(L165)*8)</f>
        <v>98.4802425935378</v>
      </c>
      <c r="O165" s="5" t="n">
        <f aca="false">MAX(-3,MIN(3,L165/3))</f>
        <v>0.0633232252692579</v>
      </c>
      <c r="P165" s="5" t="n">
        <f aca="false">100-95*EXP(-(0.03353*O165^4+0.2179*O165^2))</f>
        <v>5.08302042322359</v>
      </c>
      <c r="Q165" s="5" t="n">
        <f aca="false">IF(H165&lt;18,E165*(18-H165),0)</f>
        <v>0</v>
      </c>
      <c r="R165" s="5" t="n">
        <f aca="false">IF(H165&gt;26,E165*(H165-26),0)</f>
        <v>0</v>
      </c>
      <c r="S165" s="5" t="n">
        <f aca="false">Q165+R165</f>
        <v>0</v>
      </c>
      <c r="T165" s="5" t="n">
        <f aca="false">MAX(0,100-S165/5)</f>
        <v>100</v>
      </c>
      <c r="U165" s="5" t="n">
        <f aca="false">(N165+T165)/2</f>
        <v>99.2401212967689</v>
      </c>
      <c r="V165" s="5" t="str">
        <f aca="false">IF(U165&gt;=60,"Recommended","Not Recommended")</f>
        <v>Recommended</v>
      </c>
      <c r="W165" s="5" t="str">
        <f aca="false">IF(Q165&gt;0,"Increase insulation thickness or reduce opening area to cut heat loss",IF(R165&gt;0,"Increase shading/ventilation or reduce solar-facing openings to cut heat gain","Design meets estimated comfort band without major changes"))</f>
        <v>Design meets estimated comfort band without major changes</v>
      </c>
      <c r="X165" s="5" t="s">
        <v>555</v>
      </c>
    </row>
    <row r="166" customFormat="false" ht="15" hidden="false" customHeight="false" outlineLevel="0" collapsed="false">
      <c r="A166" s="5" t="str">
        <f aca="false">Combined_Scenarios!A166</f>
        <v>S165</v>
      </c>
      <c r="B166" s="5" t="n">
        <f aca="false">0.5+Combined_Scenarios!AA166*10</f>
        <v>0.878787878787879</v>
      </c>
      <c r="C166" s="5" t="n">
        <f aca="false">0.33*B166*Combined_Scenarios!Z166</f>
        <v>5.742</v>
      </c>
      <c r="D166" s="5" t="n">
        <f aca="false">Combined_Scenarios!W166*Combined_Scenarios!X166</f>
        <v>120.952380952381</v>
      </c>
      <c r="E166" s="5" t="n">
        <f aca="false">C166+D166</f>
        <v>126.694380952381</v>
      </c>
      <c r="F166" s="5" t="n">
        <f aca="false">0.5*Combined_Scenarios!Y166</f>
        <v>0.5</v>
      </c>
      <c r="G166" s="5" t="n">
        <f aca="false">Combined_Scenarios!K166*F166</f>
        <v>114.583333333333</v>
      </c>
      <c r="H166" s="5" t="n">
        <f aca="false">Combined_Scenarios!H166+IF(E166=0,0,G166/E166)</f>
        <v>33.9044073815428</v>
      </c>
      <c r="I166" s="5" t="n">
        <f aca="false">H166-Combined_Scenarios!H166</f>
        <v>0.904407381542832</v>
      </c>
      <c r="J166" s="5" t="n">
        <f aca="false">E166*I166</f>
        <v>114.583333333333</v>
      </c>
      <c r="K166" s="5" t="n">
        <f aca="false">0.31*Combined_Scenarios!H166+17.8</f>
        <v>28.03</v>
      </c>
      <c r="L166" s="5" t="n">
        <f aca="false">H166-K166</f>
        <v>5.87440738154283</v>
      </c>
      <c r="M166" s="5" t="str">
        <f aca="false">IF(AND(H166&gt;=12,H166&lt;=35),"Within safe range","Outside safe range")</f>
        <v>Within safe range</v>
      </c>
      <c r="N166" s="5" t="n">
        <f aca="false">MAX(0,100-ABS(L166)*8)</f>
        <v>53.0047409476574</v>
      </c>
      <c r="O166" s="5" t="n">
        <f aca="false">MAX(-3,MIN(3,L166/3))</f>
        <v>1.95813579384761</v>
      </c>
      <c r="P166" s="5" t="n">
        <f aca="false">100-95*EXP(-(0.03353*O166^4+0.2179*O166^2))</f>
        <v>74.835565338319</v>
      </c>
      <c r="Q166" s="5" t="n">
        <f aca="false">IF(H166&lt;18,E166*(18-H166),0)</f>
        <v>0</v>
      </c>
      <c r="R166" s="5" t="n">
        <f aca="false">IF(H166&gt;26,E166*(H166-26),0)</f>
        <v>1001.444</v>
      </c>
      <c r="S166" s="5" t="n">
        <f aca="false">Q166+R166</f>
        <v>1001.444</v>
      </c>
      <c r="T166" s="5" t="n">
        <f aca="false">MAX(0,100-S166/5)</f>
        <v>0</v>
      </c>
      <c r="U166" s="5" t="n">
        <f aca="false">(N166+T166)/2</f>
        <v>26.5023704738287</v>
      </c>
      <c r="V166" s="5" t="str">
        <f aca="false">IF(U166&gt;=60,"Recommended","Not Recommended")</f>
        <v>Not Recommended</v>
      </c>
      <c r="W166" s="5" t="str">
        <f aca="false">IF(Q166&gt;0,"Increase insulation thickness or reduce opening area to cut heat loss",IF(R166&gt;0,"Increase shading/ventilation or reduce solar-facing openings to cut heat gain","Design meets estimated comfort band without major changes"))</f>
        <v>Increase shading/ventilation or reduce solar-facing openings to cut heat gain</v>
      </c>
      <c r="X166" s="5" t="s">
        <v>555</v>
      </c>
    </row>
    <row r="167" customFormat="false" ht="15" hidden="false" customHeight="false" outlineLevel="0" collapsed="false">
      <c r="A167" s="5" t="str">
        <f aca="false">Combined_Scenarios!A167</f>
        <v>S166</v>
      </c>
      <c r="B167" s="5" t="n">
        <f aca="false">0.5+Combined_Scenarios!AA167*10</f>
        <v>0.878787878787879</v>
      </c>
      <c r="C167" s="5" t="n">
        <f aca="false">0.33*B167*Combined_Scenarios!Z167</f>
        <v>5.742</v>
      </c>
      <c r="D167" s="5" t="n">
        <f aca="false">Combined_Scenarios!W167*Combined_Scenarios!X167</f>
        <v>120.952380952381</v>
      </c>
      <c r="E167" s="5" t="n">
        <f aca="false">C167+D167</f>
        <v>126.694380952381</v>
      </c>
      <c r="F167" s="5" t="n">
        <f aca="false">0.5*Combined_Scenarios!Y167</f>
        <v>0.5</v>
      </c>
      <c r="G167" s="5" t="n">
        <f aca="false">Combined_Scenarios!K167*F167</f>
        <v>108.333333333333</v>
      </c>
      <c r="H167" s="5" t="n">
        <f aca="false">Combined_Scenarios!H167+IF(E167=0,0,G167/E167)</f>
        <v>30.8550760698223</v>
      </c>
      <c r="I167" s="5" t="n">
        <f aca="false">H167-Combined_Scenarios!H167</f>
        <v>0.855076069822317</v>
      </c>
      <c r="J167" s="5" t="n">
        <f aca="false">E167*I167</f>
        <v>108.333333333333</v>
      </c>
      <c r="K167" s="5" t="n">
        <f aca="false">0.31*Combined_Scenarios!H167+17.8</f>
        <v>27.1</v>
      </c>
      <c r="L167" s="5" t="n">
        <f aca="false">H167-K167</f>
        <v>3.75507606982232</v>
      </c>
      <c r="M167" s="5" t="str">
        <f aca="false">IF(AND(H167&gt;=12,H167&lt;=35),"Within safe range","Outside safe range")</f>
        <v>Within safe range</v>
      </c>
      <c r="N167" s="5" t="n">
        <f aca="false">MAX(0,100-ABS(L167)*8)</f>
        <v>69.9593914414215</v>
      </c>
      <c r="O167" s="5" t="n">
        <f aca="false">MAX(-3,MIN(3,L167/3))</f>
        <v>1.25169202327411</v>
      </c>
      <c r="P167" s="5" t="n">
        <f aca="false">100-95*EXP(-(0.03353*O167^4+0.2179*O167^2))</f>
        <v>37.8108028761964</v>
      </c>
      <c r="Q167" s="5" t="n">
        <f aca="false">IF(H167&lt;18,E167*(18-H167),0)</f>
        <v>0</v>
      </c>
      <c r="R167" s="5" t="n">
        <f aca="false">IF(H167&gt;26,E167*(H167-26),0)</f>
        <v>615.110857142857</v>
      </c>
      <c r="S167" s="5" t="n">
        <f aca="false">Q167+R167</f>
        <v>615.110857142857</v>
      </c>
      <c r="T167" s="5" t="n">
        <f aca="false">MAX(0,100-S167/5)</f>
        <v>0</v>
      </c>
      <c r="U167" s="5" t="n">
        <f aca="false">(N167+T167)/2</f>
        <v>34.9796957207107</v>
      </c>
      <c r="V167" s="5" t="str">
        <f aca="false">IF(U167&gt;=60,"Recommended","Not Recommended")</f>
        <v>Not Recommended</v>
      </c>
      <c r="W167" s="5" t="str">
        <f aca="false">IF(Q167&gt;0,"Increase insulation thickness or reduce opening area to cut heat loss",IF(R167&gt;0,"Increase shading/ventilation or reduce solar-facing openings to cut heat gain","Design meets estimated comfort band without major changes"))</f>
        <v>Increase shading/ventilation or reduce solar-facing openings to cut heat gain</v>
      </c>
      <c r="X167" s="5" t="s">
        <v>555</v>
      </c>
    </row>
    <row r="168" customFormat="false" ht="15" hidden="false" customHeight="false" outlineLevel="0" collapsed="false">
      <c r="A168" s="5" t="str">
        <f aca="false">Combined_Scenarios!A168</f>
        <v>S167</v>
      </c>
      <c r="B168" s="5" t="n">
        <f aca="false">0.5+Combined_Scenarios!AA168*10</f>
        <v>0.81055900621118</v>
      </c>
      <c r="C168" s="5" t="n">
        <f aca="false">0.33*B168*Combined_Scenarios!Z168</f>
        <v>7.38257142857143</v>
      </c>
      <c r="D168" s="5" t="n">
        <f aca="false">Combined_Scenarios!W168*Combined_Scenarios!X168</f>
        <v>148.571428571429</v>
      </c>
      <c r="E168" s="5" t="n">
        <f aca="false">C168+D168</f>
        <v>155.954</v>
      </c>
      <c r="F168" s="5" t="n">
        <f aca="false">0.5*Combined_Scenarios!Y168</f>
        <v>0.5</v>
      </c>
      <c r="G168" s="5" t="n">
        <f aca="false">Combined_Scenarios!K168*F168</f>
        <v>83.3333333333333</v>
      </c>
      <c r="H168" s="5" t="n">
        <f aca="false">Combined_Scenarios!H168+IF(E168=0,0,G168/E168)</f>
        <v>-7.46565440236651</v>
      </c>
      <c r="I168" s="5" t="n">
        <f aca="false">H168-Combined_Scenarios!H168</f>
        <v>0.53434559763349</v>
      </c>
      <c r="J168" s="5" t="n">
        <f aca="false">E168*I168</f>
        <v>83.3333333333333</v>
      </c>
      <c r="K168" s="5" t="n">
        <f aca="false">0.31*Combined_Scenarios!H168+17.8</f>
        <v>15.32</v>
      </c>
      <c r="L168" s="5" t="n">
        <f aca="false">H168-K168</f>
        <v>-22.7856544023665</v>
      </c>
      <c r="M168" s="5" t="str">
        <f aca="false">IF(AND(H168&gt;=12,H168&lt;=35),"Within safe range","Outside safe range")</f>
        <v>Outside safe range</v>
      </c>
      <c r="N168" s="5" t="n">
        <f aca="false">MAX(0,100-ABS(L168)*8)</f>
        <v>0</v>
      </c>
      <c r="O168" s="5" t="n">
        <f aca="false">MAX(-3,MIN(3,L168/3))</f>
        <v>-3</v>
      </c>
      <c r="P168" s="5" t="n">
        <f aca="false">100-95*EXP(-(0.03353*O168^4+0.2179*O168^2))</f>
        <v>99.1158717152693</v>
      </c>
      <c r="Q168" s="5" t="n">
        <f aca="false">IF(H168&lt;18,E168*(18-H168),0)</f>
        <v>3971.47066666667</v>
      </c>
      <c r="R168" s="5" t="n">
        <f aca="false">IF(H168&gt;26,E168*(H168-26),0)</f>
        <v>0</v>
      </c>
      <c r="S168" s="5" t="n">
        <f aca="false">Q168+R168</f>
        <v>3971.47066666667</v>
      </c>
      <c r="T168" s="5" t="n">
        <f aca="false">MAX(0,100-S168/5)</f>
        <v>0</v>
      </c>
      <c r="U168" s="5" t="n">
        <f aca="false">(N168+T168)/2</f>
        <v>0</v>
      </c>
      <c r="V168" s="5" t="str">
        <f aca="false">IF(U168&gt;=60,"Recommended","Not Recommended")</f>
        <v>Not Recommended</v>
      </c>
      <c r="W168" s="5" t="str">
        <f aca="false">IF(Q168&gt;0,"Increase insulation thickness or reduce opening area to cut heat loss",IF(R168&gt;0,"Increase shading/ventilation or reduce solar-facing openings to cut heat gain","Design meets estimated comfort band without major changes"))</f>
        <v>Increase insulation thickness or reduce opening area to cut heat loss</v>
      </c>
      <c r="X168" s="5" t="s">
        <v>555</v>
      </c>
    </row>
    <row r="169" customFormat="false" ht="15" hidden="false" customHeight="false" outlineLevel="0" collapsed="false">
      <c r="A169" s="5" t="str">
        <f aca="false">Combined_Scenarios!A169</f>
        <v>S168</v>
      </c>
      <c r="B169" s="5" t="n">
        <f aca="false">0.5+Combined_Scenarios!AA169*10</f>
        <v>0.81055900621118</v>
      </c>
      <c r="C169" s="5" t="n">
        <f aca="false">0.33*B169*Combined_Scenarios!Z169</f>
        <v>7.38257142857143</v>
      </c>
      <c r="D169" s="5" t="n">
        <f aca="false">Combined_Scenarios!W169*Combined_Scenarios!X169</f>
        <v>148.571428571429</v>
      </c>
      <c r="E169" s="5" t="n">
        <f aca="false">C169+D169</f>
        <v>155.954</v>
      </c>
      <c r="F169" s="5" t="n">
        <f aca="false">0.5*Combined_Scenarios!Y169</f>
        <v>0.5</v>
      </c>
      <c r="G169" s="5" t="n">
        <f aca="false">Combined_Scenarios!K169*F169</f>
        <v>150</v>
      </c>
      <c r="H169" s="5" t="n">
        <f aca="false">Combined_Scenarios!H169+IF(E169=0,0,G169/E169)</f>
        <v>16.9618220757403</v>
      </c>
      <c r="I169" s="5" t="n">
        <f aca="false">H169-Combined_Scenarios!H169</f>
        <v>0.961822075740283</v>
      </c>
      <c r="J169" s="5" t="n">
        <f aca="false">E169*I169</f>
        <v>150</v>
      </c>
      <c r="K169" s="5" t="n">
        <f aca="false">0.31*Combined_Scenarios!H169+17.8</f>
        <v>22.76</v>
      </c>
      <c r="L169" s="5" t="n">
        <f aca="false">H169-K169</f>
        <v>-5.79817792425972</v>
      </c>
      <c r="M169" s="5" t="str">
        <f aca="false">IF(AND(H169&gt;=12,H169&lt;=35),"Within safe range","Outside safe range")</f>
        <v>Within safe range</v>
      </c>
      <c r="N169" s="5" t="n">
        <f aca="false">MAX(0,100-ABS(L169)*8)</f>
        <v>53.6145766059223</v>
      </c>
      <c r="O169" s="5" t="n">
        <f aca="false">MAX(-3,MIN(3,L169/3))</f>
        <v>-1.93272597475324</v>
      </c>
      <c r="P169" s="5" t="n">
        <f aca="false">100-95*EXP(-(0.03353*O169^4+0.2179*O169^2))</f>
        <v>73.6341902386345</v>
      </c>
      <c r="Q169" s="5" t="n">
        <f aca="false">IF(H169&lt;18,E169*(18-H169),0)</f>
        <v>161.908</v>
      </c>
      <c r="R169" s="5" t="n">
        <f aca="false">IF(H169&gt;26,E169*(H169-26),0)</f>
        <v>0</v>
      </c>
      <c r="S169" s="5" t="n">
        <f aca="false">Q169+R169</f>
        <v>161.908</v>
      </c>
      <c r="T169" s="5" t="n">
        <f aca="false">MAX(0,100-S169/5)</f>
        <v>67.6184</v>
      </c>
      <c r="U169" s="5" t="n">
        <f aca="false">(N169+T169)/2</f>
        <v>60.6164883029611</v>
      </c>
      <c r="V169" s="5" t="str">
        <f aca="false">IF(U169&gt;=60,"Recommended","Not Recommended")</f>
        <v>Recommended</v>
      </c>
      <c r="W169" s="5" t="str">
        <f aca="false">IF(Q169&gt;0,"Increase insulation thickness or reduce opening area to cut heat loss",IF(R169&gt;0,"Increase shading/ventilation or reduce solar-facing openings to cut heat gain","Design meets estimated comfort band without major changes"))</f>
        <v>Increase insulation thickness or reduce opening area to cut heat loss</v>
      </c>
      <c r="X169" s="5" t="s">
        <v>555</v>
      </c>
    </row>
    <row r="170" customFormat="false" ht="15" hidden="false" customHeight="false" outlineLevel="0" collapsed="false">
      <c r="A170" s="5" t="str">
        <f aca="false">Combined_Scenarios!A170</f>
        <v>S169</v>
      </c>
      <c r="B170" s="5" t="n">
        <f aca="false">0.5+Combined_Scenarios!AA170*10</f>
        <v>0.81055900621118</v>
      </c>
      <c r="C170" s="5" t="n">
        <f aca="false">0.33*B170*Combined_Scenarios!Z170</f>
        <v>7.38257142857143</v>
      </c>
      <c r="D170" s="5" t="n">
        <f aca="false">Combined_Scenarios!W170*Combined_Scenarios!X170</f>
        <v>148.571428571429</v>
      </c>
      <c r="E170" s="5" t="n">
        <f aca="false">C170+D170</f>
        <v>155.954</v>
      </c>
      <c r="F170" s="5" t="n">
        <f aca="false">0.5*Combined_Scenarios!Y170</f>
        <v>0.5</v>
      </c>
      <c r="G170" s="5" t="n">
        <f aca="false">Combined_Scenarios!K170*F170</f>
        <v>125</v>
      </c>
      <c r="H170" s="5" t="n">
        <f aca="false">Combined_Scenarios!H170+IF(E170=0,0,G170/E170)</f>
        <v>14.8015183964502</v>
      </c>
      <c r="I170" s="5" t="n">
        <f aca="false">H170-Combined_Scenarios!H170</f>
        <v>0.801518396450236</v>
      </c>
      <c r="J170" s="5" t="n">
        <f aca="false">E170*I170</f>
        <v>125</v>
      </c>
      <c r="K170" s="5" t="n">
        <f aca="false">0.31*Combined_Scenarios!H170+17.8</f>
        <v>22.14</v>
      </c>
      <c r="L170" s="5" t="n">
        <f aca="false">H170-K170</f>
        <v>-7.33848160354977</v>
      </c>
      <c r="M170" s="5" t="str">
        <f aca="false">IF(AND(H170&gt;=12,H170&lt;=35),"Within safe range","Outside safe range")</f>
        <v>Within safe range</v>
      </c>
      <c r="N170" s="5" t="n">
        <f aca="false">MAX(0,100-ABS(L170)*8)</f>
        <v>41.2921471716019</v>
      </c>
      <c r="O170" s="5" t="n">
        <f aca="false">MAX(-3,MIN(3,L170/3))</f>
        <v>-2.44616053451659</v>
      </c>
      <c r="P170" s="5" t="n">
        <f aca="false">100-95*EXP(-(0.03353*O170^4+0.2179*O170^2))</f>
        <v>92.2360022263026</v>
      </c>
      <c r="Q170" s="5" t="n">
        <f aca="false">IF(H170&lt;18,E170*(18-H170),0)</f>
        <v>498.816</v>
      </c>
      <c r="R170" s="5" t="n">
        <f aca="false">IF(H170&gt;26,E170*(H170-26),0)</f>
        <v>0</v>
      </c>
      <c r="S170" s="5" t="n">
        <f aca="false">Q170+R170</f>
        <v>498.816</v>
      </c>
      <c r="T170" s="5" t="n">
        <f aca="false">MAX(0,100-S170/5)</f>
        <v>0.236800000000031</v>
      </c>
      <c r="U170" s="5" t="n">
        <f aca="false">(N170+T170)/2</f>
        <v>20.764473585801</v>
      </c>
      <c r="V170" s="5" t="str">
        <f aca="false">IF(U170&gt;=60,"Recommended","Not Recommended")</f>
        <v>Not Recommended</v>
      </c>
      <c r="W170" s="5" t="str">
        <f aca="false">IF(Q170&gt;0,"Increase insulation thickness or reduce opening area to cut heat loss",IF(R170&gt;0,"Increase shading/ventilation or reduce solar-facing openings to cut heat gain","Design meets estimated comfort band without major changes"))</f>
        <v>Increase insulation thickness or reduce opening area to cut heat loss</v>
      </c>
      <c r="X170" s="5" t="s">
        <v>555</v>
      </c>
    </row>
    <row r="171" customFormat="false" ht="15" hidden="false" customHeight="false" outlineLevel="0" collapsed="false">
      <c r="A171" s="5" t="str">
        <f aca="false">Combined_Scenarios!A171</f>
        <v>S170</v>
      </c>
      <c r="B171" s="5" t="n">
        <f aca="false">0.5+Combined_Scenarios!AA171*10</f>
        <v>0.81055900621118</v>
      </c>
      <c r="C171" s="5" t="n">
        <f aca="false">0.33*B171*Combined_Scenarios!Z171</f>
        <v>7.38257142857143</v>
      </c>
      <c r="D171" s="5" t="n">
        <f aca="false">Combined_Scenarios!W171*Combined_Scenarios!X171</f>
        <v>148.571428571429</v>
      </c>
      <c r="E171" s="5" t="n">
        <f aca="false">C171+D171</f>
        <v>155.954</v>
      </c>
      <c r="F171" s="5" t="n">
        <f aca="false">0.5*Combined_Scenarios!Y171</f>
        <v>0.5</v>
      </c>
      <c r="G171" s="5" t="n">
        <f aca="false">Combined_Scenarios!K171*F171</f>
        <v>93.75</v>
      </c>
      <c r="H171" s="5" t="n">
        <f aca="false">Combined_Scenarios!H171+IF(E171=0,0,G171/E171)</f>
        <v>25.6011387973377</v>
      </c>
      <c r="I171" s="5" t="n">
        <f aca="false">H171-Combined_Scenarios!H171</f>
        <v>0.601138797337676</v>
      </c>
      <c r="J171" s="5" t="n">
        <f aca="false">E171*I171</f>
        <v>93.7499999999998</v>
      </c>
      <c r="K171" s="5" t="n">
        <f aca="false">0.31*Combined_Scenarios!H171+17.8</f>
        <v>25.55</v>
      </c>
      <c r="L171" s="5" t="n">
        <f aca="false">H171-K171</f>
        <v>0.0511387973376749</v>
      </c>
      <c r="M171" s="5" t="str">
        <f aca="false">IF(AND(H171&gt;=12,H171&lt;=35),"Within safe range","Outside safe range")</f>
        <v>Within safe range</v>
      </c>
      <c r="N171" s="5" t="n">
        <f aca="false">MAX(0,100-ABS(L171)*8)</f>
        <v>99.5908896212986</v>
      </c>
      <c r="O171" s="5" t="n">
        <f aca="false">MAX(-3,MIN(3,L171/3))</f>
        <v>0.017046265779225</v>
      </c>
      <c r="P171" s="5" t="n">
        <f aca="false">100-95*EXP(-(0.03353*O171^4+0.2179*O171^2))</f>
        <v>5.00601512996495</v>
      </c>
      <c r="Q171" s="5" t="n">
        <f aca="false">IF(H171&lt;18,E171*(18-H171),0)</f>
        <v>0</v>
      </c>
      <c r="R171" s="5" t="n">
        <f aca="false">IF(H171&gt;26,E171*(H171-26),0)</f>
        <v>0</v>
      </c>
      <c r="S171" s="5" t="n">
        <f aca="false">Q171+R171</f>
        <v>0</v>
      </c>
      <c r="T171" s="5" t="n">
        <f aca="false">MAX(0,100-S171/5)</f>
        <v>100</v>
      </c>
      <c r="U171" s="5" t="n">
        <f aca="false">(N171+T171)/2</f>
        <v>99.7954448106493</v>
      </c>
      <c r="V171" s="5" t="str">
        <f aca="false">IF(U171&gt;=60,"Recommended","Not Recommended")</f>
        <v>Recommended</v>
      </c>
      <c r="W171" s="5" t="str">
        <f aca="false">IF(Q171&gt;0,"Increase insulation thickness or reduce opening area to cut heat loss",IF(R171&gt;0,"Increase shading/ventilation or reduce solar-facing openings to cut heat gain","Design meets estimated comfort band without major changes"))</f>
        <v>Design meets estimated comfort band without major changes</v>
      </c>
      <c r="X171" s="5" t="s">
        <v>555</v>
      </c>
    </row>
    <row r="172" customFormat="false" ht="15" hidden="false" customHeight="false" outlineLevel="0" collapsed="false">
      <c r="A172" s="5" t="str">
        <f aca="false">Combined_Scenarios!A172</f>
        <v>S171</v>
      </c>
      <c r="B172" s="5" t="n">
        <f aca="false">0.5+Combined_Scenarios!AA172*10</f>
        <v>0.81055900621118</v>
      </c>
      <c r="C172" s="5" t="n">
        <f aca="false">0.33*B172*Combined_Scenarios!Z172</f>
        <v>7.38257142857143</v>
      </c>
      <c r="D172" s="5" t="n">
        <f aca="false">Combined_Scenarios!W172*Combined_Scenarios!X172</f>
        <v>148.571428571429</v>
      </c>
      <c r="E172" s="5" t="n">
        <f aca="false">C172+D172</f>
        <v>155.954</v>
      </c>
      <c r="F172" s="5" t="n">
        <f aca="false">0.5*Combined_Scenarios!Y172</f>
        <v>0.5</v>
      </c>
      <c r="G172" s="5" t="n">
        <f aca="false">Combined_Scenarios!K172*F172</f>
        <v>114.583333333333</v>
      </c>
      <c r="H172" s="5" t="n">
        <f aca="false">Combined_Scenarios!H172+IF(E172=0,0,G172/E172)</f>
        <v>33.7347251967461</v>
      </c>
      <c r="I172" s="5" t="n">
        <f aca="false">H172-Combined_Scenarios!H172</f>
        <v>0.734725196746048</v>
      </c>
      <c r="J172" s="5" t="n">
        <f aca="false">E172*I172</f>
        <v>114.583333333333</v>
      </c>
      <c r="K172" s="5" t="n">
        <f aca="false">0.31*Combined_Scenarios!H172+17.8</f>
        <v>28.03</v>
      </c>
      <c r="L172" s="5" t="n">
        <f aca="false">H172-K172</f>
        <v>5.70472519674605</v>
      </c>
      <c r="M172" s="5" t="str">
        <f aca="false">IF(AND(H172&gt;=12,H172&lt;=35),"Within safe range","Outside safe range")</f>
        <v>Within safe range</v>
      </c>
      <c r="N172" s="5" t="n">
        <f aca="false">MAX(0,100-ABS(L172)*8)</f>
        <v>54.3621984260316</v>
      </c>
      <c r="O172" s="5" t="n">
        <f aca="false">MAX(-3,MIN(3,L172/3))</f>
        <v>1.90157506558202</v>
      </c>
      <c r="P172" s="5" t="n">
        <f aca="false">100-95*EXP(-(0.03353*O172^4+0.2179*O172^2))</f>
        <v>72.1304108182114</v>
      </c>
      <c r="Q172" s="5" t="n">
        <f aca="false">IF(H172&lt;18,E172*(18-H172),0)</f>
        <v>0</v>
      </c>
      <c r="R172" s="5" t="n">
        <f aca="false">IF(H172&gt;26,E172*(H172-26),0)</f>
        <v>1206.26133333333</v>
      </c>
      <c r="S172" s="5" t="n">
        <f aca="false">Q172+R172</f>
        <v>1206.26133333333</v>
      </c>
      <c r="T172" s="5" t="n">
        <f aca="false">MAX(0,100-S172/5)</f>
        <v>0</v>
      </c>
      <c r="U172" s="5" t="n">
        <f aca="false">(N172+T172)/2</f>
        <v>27.1810992130158</v>
      </c>
      <c r="V172" s="5" t="str">
        <f aca="false">IF(U172&gt;=60,"Recommended","Not Recommended")</f>
        <v>Not Recommended</v>
      </c>
      <c r="W172" s="5" t="str">
        <f aca="false">IF(Q172&gt;0,"Increase insulation thickness or reduce opening area to cut heat loss",IF(R172&gt;0,"Increase shading/ventilation or reduce solar-facing openings to cut heat gain","Design meets estimated comfort band without major changes"))</f>
        <v>Increase shading/ventilation or reduce solar-facing openings to cut heat gain</v>
      </c>
      <c r="X172" s="5" t="s">
        <v>555</v>
      </c>
    </row>
    <row r="173" customFormat="false" ht="15" hidden="false" customHeight="false" outlineLevel="0" collapsed="false">
      <c r="A173" s="5" t="str">
        <f aca="false">Combined_Scenarios!A173</f>
        <v>S172</v>
      </c>
      <c r="B173" s="5" t="n">
        <f aca="false">0.5+Combined_Scenarios!AA173*10</f>
        <v>0.81055900621118</v>
      </c>
      <c r="C173" s="5" t="n">
        <f aca="false">0.33*B173*Combined_Scenarios!Z173</f>
        <v>7.38257142857143</v>
      </c>
      <c r="D173" s="5" t="n">
        <f aca="false">Combined_Scenarios!W173*Combined_Scenarios!X173</f>
        <v>148.571428571429</v>
      </c>
      <c r="E173" s="5" t="n">
        <f aca="false">C173+D173</f>
        <v>155.954</v>
      </c>
      <c r="F173" s="5" t="n">
        <f aca="false">0.5*Combined_Scenarios!Y173</f>
        <v>0.5</v>
      </c>
      <c r="G173" s="5" t="n">
        <f aca="false">Combined_Scenarios!K173*F173</f>
        <v>108.333333333333</v>
      </c>
      <c r="H173" s="5" t="n">
        <f aca="false">Combined_Scenarios!H173+IF(E173=0,0,G173/E173)</f>
        <v>30.6946492769235</v>
      </c>
      <c r="I173" s="5" t="n">
        <f aca="false">H173-Combined_Scenarios!H173</f>
        <v>0.694649276923538</v>
      </c>
      <c r="J173" s="5" t="n">
        <f aca="false">E173*I173</f>
        <v>108.333333333334</v>
      </c>
      <c r="K173" s="5" t="n">
        <f aca="false">0.31*Combined_Scenarios!H173+17.8</f>
        <v>27.1</v>
      </c>
      <c r="L173" s="5" t="n">
        <f aca="false">H173-K173</f>
        <v>3.59464927692354</v>
      </c>
      <c r="M173" s="5" t="str">
        <f aca="false">IF(AND(H173&gt;=12,H173&lt;=35),"Within safe range","Outside safe range")</f>
        <v>Within safe range</v>
      </c>
      <c r="N173" s="5" t="n">
        <f aca="false">MAX(0,100-ABS(L173)*8)</f>
        <v>71.2428057846117</v>
      </c>
      <c r="O173" s="5" t="n">
        <f aca="false">MAX(-3,MIN(3,L173/3))</f>
        <v>1.19821642564118</v>
      </c>
      <c r="P173" s="5" t="n">
        <f aca="false">100-95*EXP(-(0.03353*O173^4+0.2179*O173^2))</f>
        <v>35.1603325634005</v>
      </c>
      <c r="Q173" s="5" t="n">
        <f aca="false">IF(H173&lt;18,E173*(18-H173),0)</f>
        <v>0</v>
      </c>
      <c r="R173" s="5" t="n">
        <f aca="false">IF(H173&gt;26,E173*(H173-26),0)</f>
        <v>732.149333333333</v>
      </c>
      <c r="S173" s="5" t="n">
        <f aca="false">Q173+R173</f>
        <v>732.149333333333</v>
      </c>
      <c r="T173" s="5" t="n">
        <f aca="false">MAX(0,100-S173/5)</f>
        <v>0</v>
      </c>
      <c r="U173" s="5" t="n">
        <f aca="false">(N173+T173)/2</f>
        <v>35.6214028923059</v>
      </c>
      <c r="V173" s="5" t="str">
        <f aca="false">IF(U173&gt;=60,"Recommended","Not Recommended")</f>
        <v>Not Recommended</v>
      </c>
      <c r="W173" s="5" t="str">
        <f aca="false">IF(Q173&gt;0,"Increase insulation thickness or reduce opening area to cut heat loss",IF(R173&gt;0,"Increase shading/ventilation or reduce solar-facing openings to cut heat gain","Design meets estimated comfort band without major changes"))</f>
        <v>Increase shading/ventilation or reduce solar-facing openings to cut heat gain</v>
      </c>
      <c r="X173" s="5" t="s">
        <v>555</v>
      </c>
    </row>
    <row r="174" customFormat="false" ht="15" hidden="false" customHeight="false" outlineLevel="0" collapsed="false">
      <c r="A174" s="5" t="str">
        <f aca="false">Combined_Scenarios!A174</f>
        <v>S173</v>
      </c>
      <c r="B174" s="5" t="n">
        <f aca="false">0.5+Combined_Scenarios!AA174*10</f>
        <v>0.878787878787879</v>
      </c>
      <c r="C174" s="5" t="n">
        <f aca="false">0.33*B174*Combined_Scenarios!Z174</f>
        <v>5.742</v>
      </c>
      <c r="D174" s="5" t="n">
        <f aca="false">Combined_Scenarios!W174*Combined_Scenarios!X174</f>
        <v>28.0835380835381</v>
      </c>
      <c r="E174" s="5" t="n">
        <f aca="false">C174+D174</f>
        <v>33.8255380835381</v>
      </c>
      <c r="F174" s="5" t="n">
        <f aca="false">0.5*Combined_Scenarios!Y174</f>
        <v>0.5</v>
      </c>
      <c r="G174" s="5" t="n">
        <f aca="false">Combined_Scenarios!K174*F174</f>
        <v>83.3333333333333</v>
      </c>
      <c r="H174" s="5" t="n">
        <f aca="false">Combined_Scenarios!H174+IF(E174=0,0,G174/E174)</f>
        <v>-5.53637819071711</v>
      </c>
      <c r="I174" s="5" t="n">
        <f aca="false">H174-Combined_Scenarios!H174</f>
        <v>2.46362180928289</v>
      </c>
      <c r="J174" s="5" t="n">
        <f aca="false">E174*I174</f>
        <v>83.3333333333333</v>
      </c>
      <c r="K174" s="5" t="n">
        <f aca="false">0.31*Combined_Scenarios!H174+17.8</f>
        <v>15.32</v>
      </c>
      <c r="L174" s="5" t="n">
        <f aca="false">H174-K174</f>
        <v>-20.8563781907171</v>
      </c>
      <c r="M174" s="5" t="str">
        <f aca="false">IF(AND(H174&gt;=12,H174&lt;=35),"Within safe range","Outside safe range")</f>
        <v>Outside safe range</v>
      </c>
      <c r="N174" s="5" t="n">
        <f aca="false">MAX(0,100-ABS(L174)*8)</f>
        <v>0</v>
      </c>
      <c r="O174" s="5" t="n">
        <f aca="false">MAX(-3,MIN(3,L174/3))</f>
        <v>-3</v>
      </c>
      <c r="P174" s="5" t="n">
        <f aca="false">100-95*EXP(-(0.03353*O174^4+0.2179*O174^2))</f>
        <v>99.1158717152693</v>
      </c>
      <c r="Q174" s="5" t="n">
        <f aca="false">IF(H174&lt;18,E174*(18-H174),0)</f>
        <v>796.130656838657</v>
      </c>
      <c r="R174" s="5" t="n">
        <f aca="false">IF(H174&gt;26,E174*(H174-26),0)</f>
        <v>0</v>
      </c>
      <c r="S174" s="5" t="n">
        <f aca="false">Q174+R174</f>
        <v>796.130656838657</v>
      </c>
      <c r="T174" s="5" t="n">
        <f aca="false">MAX(0,100-S174/5)</f>
        <v>0</v>
      </c>
      <c r="U174" s="5" t="n">
        <f aca="false">(N174+T174)/2</f>
        <v>0</v>
      </c>
      <c r="V174" s="5" t="str">
        <f aca="false">IF(U174&gt;=60,"Recommended","Not Recommended")</f>
        <v>Not Recommended</v>
      </c>
      <c r="W174" s="5" t="str">
        <f aca="false">IF(Q174&gt;0,"Increase insulation thickness or reduce opening area to cut heat loss",IF(R174&gt;0,"Increase shading/ventilation or reduce solar-facing openings to cut heat gain","Design meets estimated comfort band without major changes"))</f>
        <v>Increase insulation thickness or reduce opening area to cut heat loss</v>
      </c>
      <c r="X174" s="5" t="s">
        <v>555</v>
      </c>
    </row>
    <row r="175" customFormat="false" ht="15" hidden="false" customHeight="false" outlineLevel="0" collapsed="false">
      <c r="A175" s="5" t="str">
        <f aca="false">Combined_Scenarios!A175</f>
        <v>S174</v>
      </c>
      <c r="B175" s="5" t="n">
        <f aca="false">0.5+Combined_Scenarios!AA175*10</f>
        <v>0.878787878787879</v>
      </c>
      <c r="C175" s="5" t="n">
        <f aca="false">0.33*B175*Combined_Scenarios!Z175</f>
        <v>5.742</v>
      </c>
      <c r="D175" s="5" t="n">
        <f aca="false">Combined_Scenarios!W175*Combined_Scenarios!X175</f>
        <v>28.0835380835381</v>
      </c>
      <c r="E175" s="5" t="n">
        <f aca="false">C175+D175</f>
        <v>33.8255380835381</v>
      </c>
      <c r="F175" s="5" t="n">
        <f aca="false">0.5*Combined_Scenarios!Y175</f>
        <v>0.5</v>
      </c>
      <c r="G175" s="5" t="n">
        <f aca="false">Combined_Scenarios!K175*F175</f>
        <v>150</v>
      </c>
      <c r="H175" s="5" t="n">
        <f aca="false">Combined_Scenarios!H175+IF(E175=0,0,G175/E175)</f>
        <v>20.4345192567092</v>
      </c>
      <c r="I175" s="5" t="n">
        <f aca="false">H175-Combined_Scenarios!H175</f>
        <v>4.4345192567092</v>
      </c>
      <c r="J175" s="5" t="n">
        <f aca="false">E175*I175</f>
        <v>150</v>
      </c>
      <c r="K175" s="5" t="n">
        <f aca="false">0.31*Combined_Scenarios!H175+17.8</f>
        <v>22.76</v>
      </c>
      <c r="L175" s="5" t="n">
        <f aca="false">H175-K175</f>
        <v>-2.3254807432908</v>
      </c>
      <c r="M175" s="5" t="str">
        <f aca="false">IF(AND(H175&gt;=12,H175&lt;=35),"Within safe range","Outside safe range")</f>
        <v>Within safe range</v>
      </c>
      <c r="N175" s="5" t="n">
        <f aca="false">MAX(0,100-ABS(L175)*8)</f>
        <v>81.3961540536736</v>
      </c>
      <c r="O175" s="5" t="n">
        <f aca="false">MAX(-3,MIN(3,L175/3))</f>
        <v>-0.7751602477636</v>
      </c>
      <c r="P175" s="5" t="n">
        <f aca="false">100-95*EXP(-(0.03353*O175^4+0.2179*O175^2))</f>
        <v>17.6613510902523</v>
      </c>
      <c r="Q175" s="5" t="n">
        <f aca="false">IF(H175&lt;18,E175*(18-H175),0)</f>
        <v>0</v>
      </c>
      <c r="R175" s="5" t="n">
        <f aca="false">IF(H175&gt;26,E175*(H175-26),0)</f>
        <v>0</v>
      </c>
      <c r="S175" s="5" t="n">
        <f aca="false">Q175+R175</f>
        <v>0</v>
      </c>
      <c r="T175" s="5" t="n">
        <f aca="false">MAX(0,100-S175/5)</f>
        <v>100</v>
      </c>
      <c r="U175" s="5" t="n">
        <f aca="false">(N175+T175)/2</f>
        <v>90.6980770268368</v>
      </c>
      <c r="V175" s="5" t="str">
        <f aca="false">IF(U175&gt;=60,"Recommended","Not Recommended")</f>
        <v>Recommended</v>
      </c>
      <c r="W175" s="5" t="str">
        <f aca="false">IF(Q175&gt;0,"Increase insulation thickness or reduce opening area to cut heat loss",IF(R175&gt;0,"Increase shading/ventilation or reduce solar-facing openings to cut heat gain","Design meets estimated comfort band without major changes"))</f>
        <v>Design meets estimated comfort band without major changes</v>
      </c>
      <c r="X175" s="5" t="s">
        <v>555</v>
      </c>
    </row>
    <row r="176" customFormat="false" ht="15" hidden="false" customHeight="false" outlineLevel="0" collapsed="false">
      <c r="A176" s="5" t="str">
        <f aca="false">Combined_Scenarios!A176</f>
        <v>S175</v>
      </c>
      <c r="B176" s="5" t="n">
        <f aca="false">0.5+Combined_Scenarios!AA176*10</f>
        <v>0.878787878787879</v>
      </c>
      <c r="C176" s="5" t="n">
        <f aca="false">0.33*B176*Combined_Scenarios!Z176</f>
        <v>5.742</v>
      </c>
      <c r="D176" s="5" t="n">
        <f aca="false">Combined_Scenarios!W176*Combined_Scenarios!X176</f>
        <v>28.0835380835381</v>
      </c>
      <c r="E176" s="5" t="n">
        <f aca="false">C176+D176</f>
        <v>33.8255380835381</v>
      </c>
      <c r="F176" s="5" t="n">
        <f aca="false">0.5*Combined_Scenarios!Y176</f>
        <v>0.5</v>
      </c>
      <c r="G176" s="5" t="n">
        <f aca="false">Combined_Scenarios!K176*F176</f>
        <v>125</v>
      </c>
      <c r="H176" s="5" t="n">
        <f aca="false">Combined_Scenarios!H176+IF(E176=0,0,G176/E176)</f>
        <v>17.6954327139243</v>
      </c>
      <c r="I176" s="5" t="n">
        <f aca="false">H176-Combined_Scenarios!H176</f>
        <v>3.69543271392433</v>
      </c>
      <c r="J176" s="5" t="n">
        <f aca="false">E176*I176</f>
        <v>125</v>
      </c>
      <c r="K176" s="5" t="n">
        <f aca="false">0.31*Combined_Scenarios!H176+17.8</f>
        <v>22.14</v>
      </c>
      <c r="L176" s="5" t="n">
        <f aca="false">H176-K176</f>
        <v>-4.44456728607567</v>
      </c>
      <c r="M176" s="5" t="str">
        <f aca="false">IF(AND(H176&gt;=12,H176&lt;=35),"Within safe range","Outside safe range")</f>
        <v>Within safe range</v>
      </c>
      <c r="N176" s="5" t="n">
        <f aca="false">MAX(0,100-ABS(L176)*8)</f>
        <v>64.4434617113947</v>
      </c>
      <c r="O176" s="5" t="n">
        <f aca="false">MAX(-3,MIN(3,L176/3))</f>
        <v>-1.48152242869189</v>
      </c>
      <c r="P176" s="5" t="n">
        <f aca="false">100-95*EXP(-(0.03353*O176^4+0.2179*O176^2))</f>
        <v>49.8974781101151</v>
      </c>
      <c r="Q176" s="5" t="n">
        <f aca="false">IF(H176&lt;18,E176*(18-H176),0)</f>
        <v>10.3021523341523</v>
      </c>
      <c r="R176" s="5" t="n">
        <f aca="false">IF(H176&gt;26,E176*(H176-26),0)</f>
        <v>0</v>
      </c>
      <c r="S176" s="5" t="n">
        <f aca="false">Q176+R176</f>
        <v>10.3021523341523</v>
      </c>
      <c r="T176" s="5" t="n">
        <f aca="false">MAX(0,100-S176/5)</f>
        <v>97.9395695331696</v>
      </c>
      <c r="U176" s="5" t="n">
        <f aca="false">(N176+T176)/2</f>
        <v>81.1915156222821</v>
      </c>
      <c r="V176" s="5" t="str">
        <f aca="false">IF(U176&gt;=60,"Recommended","Not Recommended")</f>
        <v>Recommended</v>
      </c>
      <c r="W176" s="5" t="str">
        <f aca="false">IF(Q176&gt;0,"Increase insulation thickness or reduce opening area to cut heat loss",IF(R176&gt;0,"Increase shading/ventilation or reduce solar-facing openings to cut heat gain","Design meets estimated comfort band without major changes"))</f>
        <v>Increase insulation thickness or reduce opening area to cut heat loss</v>
      </c>
      <c r="X176" s="5" t="s">
        <v>555</v>
      </c>
    </row>
    <row r="177" customFormat="false" ht="15" hidden="false" customHeight="false" outlineLevel="0" collapsed="false">
      <c r="A177" s="5" t="str">
        <f aca="false">Combined_Scenarios!A177</f>
        <v>S176</v>
      </c>
      <c r="B177" s="5" t="n">
        <f aca="false">0.5+Combined_Scenarios!AA177*10</f>
        <v>0.878787878787879</v>
      </c>
      <c r="C177" s="5" t="n">
        <f aca="false">0.33*B177*Combined_Scenarios!Z177</f>
        <v>5.742</v>
      </c>
      <c r="D177" s="5" t="n">
        <f aca="false">Combined_Scenarios!W177*Combined_Scenarios!X177</f>
        <v>28.0835380835381</v>
      </c>
      <c r="E177" s="5" t="n">
        <f aca="false">C177+D177</f>
        <v>33.8255380835381</v>
      </c>
      <c r="F177" s="5" t="n">
        <f aca="false">0.5*Combined_Scenarios!Y177</f>
        <v>0.5</v>
      </c>
      <c r="G177" s="5" t="n">
        <f aca="false">Combined_Scenarios!K177*F177</f>
        <v>93.75</v>
      </c>
      <c r="H177" s="5" t="n">
        <f aca="false">Combined_Scenarios!H177+IF(E177=0,0,G177/E177)</f>
        <v>27.7715745354433</v>
      </c>
      <c r="I177" s="5" t="n">
        <f aca="false">H177-Combined_Scenarios!H177</f>
        <v>2.77157453544325</v>
      </c>
      <c r="J177" s="5" t="n">
        <f aca="false">E177*I177</f>
        <v>93.75</v>
      </c>
      <c r="K177" s="5" t="n">
        <f aca="false">0.31*Combined_Scenarios!H177+17.8</f>
        <v>25.55</v>
      </c>
      <c r="L177" s="5" t="n">
        <f aca="false">H177-K177</f>
        <v>2.22157453544325</v>
      </c>
      <c r="M177" s="5" t="str">
        <f aca="false">IF(AND(H177&gt;=12,H177&lt;=35),"Within safe range","Outside safe range")</f>
        <v>Within safe range</v>
      </c>
      <c r="N177" s="5" t="n">
        <f aca="false">MAX(0,100-ABS(L177)*8)</f>
        <v>82.227403716454</v>
      </c>
      <c r="O177" s="5" t="n">
        <f aca="false">MAX(-3,MIN(3,L177/3))</f>
        <v>0.74052484514775</v>
      </c>
      <c r="P177" s="5" t="n">
        <f aca="false">100-95*EXP(-(0.03353*O177^4+0.2179*O177^2))</f>
        <v>16.5454243784272</v>
      </c>
      <c r="Q177" s="5" t="n">
        <f aca="false">IF(H177&lt;18,E177*(18-H177),0)</f>
        <v>0</v>
      </c>
      <c r="R177" s="5" t="n">
        <f aca="false">IF(H177&gt;26,E177*(H177-26),0)</f>
        <v>59.9244619164619</v>
      </c>
      <c r="S177" s="5" t="n">
        <f aca="false">Q177+R177</f>
        <v>59.9244619164619</v>
      </c>
      <c r="T177" s="5" t="n">
        <f aca="false">MAX(0,100-S177/5)</f>
        <v>88.0151076167076</v>
      </c>
      <c r="U177" s="5" t="n">
        <f aca="false">(N177+T177)/2</f>
        <v>85.1212556665808</v>
      </c>
      <c r="V177" s="5" t="str">
        <f aca="false">IF(U177&gt;=60,"Recommended","Not Recommended")</f>
        <v>Recommended</v>
      </c>
      <c r="W177" s="5" t="str">
        <f aca="false">IF(Q177&gt;0,"Increase insulation thickness or reduce opening area to cut heat loss",IF(R177&gt;0,"Increase shading/ventilation or reduce solar-facing openings to cut heat gain","Design meets estimated comfort band without major changes"))</f>
        <v>Increase shading/ventilation or reduce solar-facing openings to cut heat gain</v>
      </c>
      <c r="X177" s="5" t="s">
        <v>555</v>
      </c>
    </row>
    <row r="178" customFormat="false" ht="15" hidden="false" customHeight="false" outlineLevel="0" collapsed="false">
      <c r="A178" s="5" t="str">
        <f aca="false">Combined_Scenarios!A178</f>
        <v>S177</v>
      </c>
      <c r="B178" s="5" t="n">
        <f aca="false">0.5+Combined_Scenarios!AA178*10</f>
        <v>0.878787878787879</v>
      </c>
      <c r="C178" s="5" t="n">
        <f aca="false">0.33*B178*Combined_Scenarios!Z178</f>
        <v>5.742</v>
      </c>
      <c r="D178" s="5" t="n">
        <f aca="false">Combined_Scenarios!W178*Combined_Scenarios!X178</f>
        <v>28.0835380835381</v>
      </c>
      <c r="E178" s="5" t="n">
        <f aca="false">C178+D178</f>
        <v>33.8255380835381</v>
      </c>
      <c r="F178" s="5" t="n">
        <f aca="false">0.5*Combined_Scenarios!Y178</f>
        <v>0.5</v>
      </c>
      <c r="G178" s="5" t="n">
        <f aca="false">Combined_Scenarios!K178*F178</f>
        <v>114.583333333333</v>
      </c>
      <c r="H178" s="5" t="n">
        <f aca="false">Combined_Scenarios!H178+IF(E178=0,0,G178/E178)</f>
        <v>36.387479987764</v>
      </c>
      <c r="I178" s="5" t="n">
        <f aca="false">H178-Combined_Scenarios!H178</f>
        <v>3.38747998776397</v>
      </c>
      <c r="J178" s="5" t="n">
        <f aca="false">E178*I178</f>
        <v>114.583333333333</v>
      </c>
      <c r="K178" s="5" t="n">
        <f aca="false">0.31*Combined_Scenarios!H178+17.8</f>
        <v>28.03</v>
      </c>
      <c r="L178" s="5" t="n">
        <f aca="false">H178-K178</f>
        <v>8.35747998776397</v>
      </c>
      <c r="M178" s="5" t="str">
        <f aca="false">IF(AND(H178&gt;=12,H178&lt;=35),"Within safe range","Outside safe range")</f>
        <v>Outside safe range</v>
      </c>
      <c r="N178" s="5" t="n">
        <f aca="false">MAX(0,100-ABS(L178)*8)</f>
        <v>33.1401600978882</v>
      </c>
      <c r="O178" s="5" t="n">
        <f aca="false">MAX(-3,MIN(3,L178/3))</f>
        <v>2.78582666258799</v>
      </c>
      <c r="P178" s="5" t="n">
        <f aca="false">100-95*EXP(-(0.03353*O178^4+0.2179*O178^2))</f>
        <v>97.6760604668207</v>
      </c>
      <c r="Q178" s="5" t="n">
        <f aca="false">IF(H178&lt;18,E178*(18-H178),0)</f>
        <v>0</v>
      </c>
      <c r="R178" s="5" t="n">
        <f aca="false">IF(H178&gt;26,E178*(H178-26),0)</f>
        <v>351.3620999181</v>
      </c>
      <c r="S178" s="5" t="n">
        <f aca="false">Q178+R178</f>
        <v>351.3620999181</v>
      </c>
      <c r="T178" s="5" t="n">
        <f aca="false">MAX(0,100-S178/5)</f>
        <v>29.72758001638</v>
      </c>
      <c r="U178" s="5" t="n">
        <f aca="false">(N178+T178)/2</f>
        <v>31.4338700571341</v>
      </c>
      <c r="V178" s="5" t="str">
        <f aca="false">IF(U178&gt;=60,"Recommended","Not Recommended")</f>
        <v>Not Recommended</v>
      </c>
      <c r="W178" s="5" t="str">
        <f aca="false">IF(Q178&gt;0,"Increase insulation thickness or reduce opening area to cut heat loss",IF(R178&gt;0,"Increase shading/ventilation or reduce solar-facing openings to cut heat gain","Design meets estimated comfort band without major changes"))</f>
        <v>Increase shading/ventilation or reduce solar-facing openings to cut heat gain</v>
      </c>
      <c r="X178" s="5" t="s">
        <v>555</v>
      </c>
    </row>
    <row r="179" customFormat="false" ht="15" hidden="false" customHeight="false" outlineLevel="0" collapsed="false">
      <c r="A179" s="5" t="str">
        <f aca="false">Combined_Scenarios!A179</f>
        <v>S178</v>
      </c>
      <c r="B179" s="5" t="n">
        <f aca="false">0.5+Combined_Scenarios!AA179*10</f>
        <v>0.878787878787879</v>
      </c>
      <c r="C179" s="5" t="n">
        <f aca="false">0.33*B179*Combined_Scenarios!Z179</f>
        <v>5.742</v>
      </c>
      <c r="D179" s="5" t="n">
        <f aca="false">Combined_Scenarios!W179*Combined_Scenarios!X179</f>
        <v>28.0835380835381</v>
      </c>
      <c r="E179" s="5" t="n">
        <f aca="false">C179+D179</f>
        <v>33.8255380835381</v>
      </c>
      <c r="F179" s="5" t="n">
        <f aca="false">0.5*Combined_Scenarios!Y179</f>
        <v>0.5</v>
      </c>
      <c r="G179" s="5" t="n">
        <f aca="false">Combined_Scenarios!K179*F179</f>
        <v>108.333333333333</v>
      </c>
      <c r="H179" s="5" t="n">
        <f aca="false">Combined_Scenarios!H179+IF(E179=0,0,G179/E179)</f>
        <v>33.2027083520678</v>
      </c>
      <c r="I179" s="5" t="n">
        <f aca="false">H179-Combined_Scenarios!H179</f>
        <v>3.20270835206775</v>
      </c>
      <c r="J179" s="5" t="n">
        <f aca="false">E179*I179</f>
        <v>108.333333333333</v>
      </c>
      <c r="K179" s="5" t="n">
        <f aca="false">0.31*Combined_Scenarios!H179+17.8</f>
        <v>27.1</v>
      </c>
      <c r="L179" s="5" t="n">
        <f aca="false">H179-K179</f>
        <v>6.10270835206775</v>
      </c>
      <c r="M179" s="5" t="str">
        <f aca="false">IF(AND(H179&gt;=12,H179&lt;=35),"Within safe range","Outside safe range")</f>
        <v>Within safe range</v>
      </c>
      <c r="N179" s="5" t="n">
        <f aca="false">MAX(0,100-ABS(L179)*8)</f>
        <v>51.178333183458</v>
      </c>
      <c r="O179" s="5" t="n">
        <f aca="false">MAX(-3,MIN(3,L179/3))</f>
        <v>2.03423611735592</v>
      </c>
      <c r="P179" s="5" t="n">
        <f aca="false">100-95*EXP(-(0.03353*O179^4+0.2179*O179^2))</f>
        <v>78.2847827142677</v>
      </c>
      <c r="Q179" s="5" t="n">
        <f aca="false">IF(H179&lt;18,E179*(18-H179),0)</f>
        <v>0</v>
      </c>
      <c r="R179" s="5" t="n">
        <f aca="false">IF(H179&gt;26,E179*(H179-26),0)</f>
        <v>243.635485667486</v>
      </c>
      <c r="S179" s="5" t="n">
        <f aca="false">Q179+R179</f>
        <v>243.635485667486</v>
      </c>
      <c r="T179" s="5" t="n">
        <f aca="false">MAX(0,100-S179/5)</f>
        <v>51.2729028665029</v>
      </c>
      <c r="U179" s="5" t="n">
        <f aca="false">(N179+T179)/2</f>
        <v>51.2256180249804</v>
      </c>
      <c r="V179" s="5" t="str">
        <f aca="false">IF(U179&gt;=60,"Recommended","Not Recommended")</f>
        <v>Not Recommended</v>
      </c>
      <c r="W179" s="5" t="str">
        <f aca="false">IF(Q179&gt;0,"Increase insulation thickness or reduce opening area to cut heat loss",IF(R179&gt;0,"Increase shading/ventilation or reduce solar-facing openings to cut heat gain","Design meets estimated comfort band without major changes"))</f>
        <v>Increase shading/ventilation or reduce solar-facing openings to cut heat gain</v>
      </c>
      <c r="X179" s="5" t="s">
        <v>555</v>
      </c>
    </row>
    <row r="180" customFormat="false" ht="15" hidden="false" customHeight="false" outlineLevel="0" collapsed="false">
      <c r="A180" s="5" t="str">
        <f aca="false">Combined_Scenarios!A180</f>
        <v>S179</v>
      </c>
      <c r="B180" s="5" t="n">
        <f aca="false">0.5+Combined_Scenarios!AA180*10</f>
        <v>0.81055900621118</v>
      </c>
      <c r="C180" s="5" t="n">
        <f aca="false">0.33*B180*Combined_Scenarios!Z180</f>
        <v>7.38257142857143</v>
      </c>
      <c r="D180" s="5" t="n">
        <f aca="false">Combined_Scenarios!W180*Combined_Scenarios!X180</f>
        <v>34.4963144963145</v>
      </c>
      <c r="E180" s="5" t="n">
        <f aca="false">C180+D180</f>
        <v>41.8788859248859</v>
      </c>
      <c r="F180" s="5" t="n">
        <f aca="false">0.5*Combined_Scenarios!Y180</f>
        <v>0.5</v>
      </c>
      <c r="G180" s="5" t="n">
        <f aca="false">Combined_Scenarios!K180*F180</f>
        <v>83.3333333333333</v>
      </c>
      <c r="H180" s="5" t="n">
        <f aca="false">Combined_Scenarios!H180+IF(E180=0,0,G180/E180)</f>
        <v>-6.01013490466771</v>
      </c>
      <c r="I180" s="5" t="n">
        <f aca="false">H180-Combined_Scenarios!H180</f>
        <v>1.98986509533229</v>
      </c>
      <c r="J180" s="5" t="n">
        <f aca="false">E180*I180</f>
        <v>83.3333333333333</v>
      </c>
      <c r="K180" s="5" t="n">
        <f aca="false">0.31*Combined_Scenarios!H180+17.8</f>
        <v>15.32</v>
      </c>
      <c r="L180" s="5" t="n">
        <f aca="false">H180-K180</f>
        <v>-21.3301349046677</v>
      </c>
      <c r="M180" s="5" t="str">
        <f aca="false">IF(AND(H180&gt;=12,H180&lt;=35),"Within safe range","Outside safe range")</f>
        <v>Outside safe range</v>
      </c>
      <c r="N180" s="5" t="n">
        <f aca="false">MAX(0,100-ABS(L180)*8)</f>
        <v>0</v>
      </c>
      <c r="O180" s="5" t="n">
        <f aca="false">MAX(-3,MIN(3,L180/3))</f>
        <v>-3</v>
      </c>
      <c r="P180" s="5" t="n">
        <f aca="false">100-95*EXP(-(0.03353*O180^4+0.2179*O180^2))</f>
        <v>99.1158717152693</v>
      </c>
      <c r="Q180" s="5" t="n">
        <f aca="false">IF(H180&lt;18,E180*(18-H180),0)</f>
        <v>1005.5177007137</v>
      </c>
      <c r="R180" s="5" t="n">
        <f aca="false">IF(H180&gt;26,E180*(H180-26),0)</f>
        <v>0</v>
      </c>
      <c r="S180" s="5" t="n">
        <f aca="false">Q180+R180</f>
        <v>1005.5177007137</v>
      </c>
      <c r="T180" s="5" t="n">
        <f aca="false">MAX(0,100-S180/5)</f>
        <v>0</v>
      </c>
      <c r="U180" s="5" t="n">
        <f aca="false">(N180+T180)/2</f>
        <v>0</v>
      </c>
      <c r="V180" s="5" t="str">
        <f aca="false">IF(U180&gt;=60,"Recommended","Not Recommended")</f>
        <v>Not Recommended</v>
      </c>
      <c r="W180" s="5" t="str">
        <f aca="false">IF(Q180&gt;0,"Increase insulation thickness or reduce opening area to cut heat loss",IF(R180&gt;0,"Increase shading/ventilation or reduce solar-facing openings to cut heat gain","Design meets estimated comfort band without major changes"))</f>
        <v>Increase insulation thickness or reduce opening area to cut heat loss</v>
      </c>
      <c r="X180" s="5" t="s">
        <v>555</v>
      </c>
    </row>
    <row r="181" customFormat="false" ht="15" hidden="false" customHeight="false" outlineLevel="0" collapsed="false">
      <c r="A181" s="5" t="str">
        <f aca="false">Combined_Scenarios!A181</f>
        <v>S180</v>
      </c>
      <c r="B181" s="5" t="n">
        <f aca="false">0.5+Combined_Scenarios!AA181*10</f>
        <v>0.81055900621118</v>
      </c>
      <c r="C181" s="5" t="n">
        <f aca="false">0.33*B181*Combined_Scenarios!Z181</f>
        <v>7.38257142857143</v>
      </c>
      <c r="D181" s="5" t="n">
        <f aca="false">Combined_Scenarios!W181*Combined_Scenarios!X181</f>
        <v>34.4963144963145</v>
      </c>
      <c r="E181" s="5" t="n">
        <f aca="false">C181+D181</f>
        <v>41.8788859248859</v>
      </c>
      <c r="F181" s="5" t="n">
        <f aca="false">0.5*Combined_Scenarios!Y181</f>
        <v>0.5</v>
      </c>
      <c r="G181" s="5" t="n">
        <f aca="false">Combined_Scenarios!K181*F181</f>
        <v>150</v>
      </c>
      <c r="H181" s="5" t="n">
        <f aca="false">Combined_Scenarios!H181+IF(E181=0,0,G181/E181)</f>
        <v>19.5817571715981</v>
      </c>
      <c r="I181" s="5" t="n">
        <f aca="false">H181-Combined_Scenarios!H181</f>
        <v>3.58175717159813</v>
      </c>
      <c r="J181" s="5" t="n">
        <f aca="false">E181*I181</f>
        <v>150</v>
      </c>
      <c r="K181" s="5" t="n">
        <f aca="false">0.31*Combined_Scenarios!H181+17.8</f>
        <v>22.76</v>
      </c>
      <c r="L181" s="5" t="n">
        <f aca="false">H181-K181</f>
        <v>-3.17824282840187</v>
      </c>
      <c r="M181" s="5" t="str">
        <f aca="false">IF(AND(H181&gt;=12,H181&lt;=35),"Within safe range","Outside safe range")</f>
        <v>Within safe range</v>
      </c>
      <c r="N181" s="5" t="n">
        <f aca="false">MAX(0,100-ABS(L181)*8)</f>
        <v>74.574057372785</v>
      </c>
      <c r="O181" s="5" t="n">
        <f aca="false">MAX(-3,MIN(3,L181/3))</f>
        <v>-1.05941427613396</v>
      </c>
      <c r="P181" s="5" t="n">
        <f aca="false">100-95*EXP(-(0.03353*O181^4+0.2179*O181^2))</f>
        <v>28.6870752483535</v>
      </c>
      <c r="Q181" s="5" t="n">
        <f aca="false">IF(H181&lt;18,E181*(18-H181),0)</f>
        <v>0</v>
      </c>
      <c r="R181" s="5" t="n">
        <f aca="false">IF(H181&gt;26,E181*(H181-26),0)</f>
        <v>0</v>
      </c>
      <c r="S181" s="5" t="n">
        <f aca="false">Q181+R181</f>
        <v>0</v>
      </c>
      <c r="T181" s="5" t="n">
        <f aca="false">MAX(0,100-S181/5)</f>
        <v>100</v>
      </c>
      <c r="U181" s="5" t="n">
        <f aca="false">(N181+T181)/2</f>
        <v>87.2870286863925</v>
      </c>
      <c r="V181" s="5" t="str">
        <f aca="false">IF(U181&gt;=60,"Recommended","Not Recommended")</f>
        <v>Recommended</v>
      </c>
      <c r="W181" s="5" t="str">
        <f aca="false">IF(Q181&gt;0,"Increase insulation thickness or reduce opening area to cut heat loss",IF(R181&gt;0,"Increase shading/ventilation or reduce solar-facing openings to cut heat gain","Design meets estimated comfort band without major changes"))</f>
        <v>Design meets estimated comfort band without major changes</v>
      </c>
      <c r="X181" s="5" t="s">
        <v>555</v>
      </c>
    </row>
    <row r="182" customFormat="false" ht="15" hidden="false" customHeight="false" outlineLevel="0" collapsed="false">
      <c r="A182" s="5" t="str">
        <f aca="false">Combined_Scenarios!A182</f>
        <v>S181</v>
      </c>
      <c r="B182" s="5" t="n">
        <f aca="false">0.5+Combined_Scenarios!AA182*10</f>
        <v>0.81055900621118</v>
      </c>
      <c r="C182" s="5" t="n">
        <f aca="false">0.33*B182*Combined_Scenarios!Z182</f>
        <v>7.38257142857143</v>
      </c>
      <c r="D182" s="5" t="n">
        <f aca="false">Combined_Scenarios!W182*Combined_Scenarios!X182</f>
        <v>34.4963144963145</v>
      </c>
      <c r="E182" s="5" t="n">
        <f aca="false">C182+D182</f>
        <v>41.8788859248859</v>
      </c>
      <c r="F182" s="5" t="n">
        <f aca="false">0.5*Combined_Scenarios!Y182</f>
        <v>0.5</v>
      </c>
      <c r="G182" s="5" t="n">
        <f aca="false">Combined_Scenarios!K182*F182</f>
        <v>125</v>
      </c>
      <c r="H182" s="5" t="n">
        <f aca="false">Combined_Scenarios!H182+IF(E182=0,0,G182/E182)</f>
        <v>16.9847976429984</v>
      </c>
      <c r="I182" s="5" t="n">
        <f aca="false">H182-Combined_Scenarios!H182</f>
        <v>2.98479764299844</v>
      </c>
      <c r="J182" s="5" t="n">
        <f aca="false">E182*I182</f>
        <v>125</v>
      </c>
      <c r="K182" s="5" t="n">
        <f aca="false">0.31*Combined_Scenarios!H182+17.8</f>
        <v>22.14</v>
      </c>
      <c r="L182" s="5" t="n">
        <f aca="false">H182-K182</f>
        <v>-5.15520235700156</v>
      </c>
      <c r="M182" s="5" t="str">
        <f aca="false">IF(AND(H182&gt;=12,H182&lt;=35),"Within safe range","Outside safe range")</f>
        <v>Within safe range</v>
      </c>
      <c r="N182" s="5" t="n">
        <f aca="false">MAX(0,100-ABS(L182)*8)</f>
        <v>58.7583811439875</v>
      </c>
      <c r="O182" s="5" t="n">
        <f aca="false">MAX(-3,MIN(3,L182/3))</f>
        <v>-1.71840078566719</v>
      </c>
      <c r="P182" s="5" t="n">
        <f aca="false">100-95*EXP(-(0.03353*O182^4+0.2179*O182^2))</f>
        <v>62.7343998854608</v>
      </c>
      <c r="Q182" s="5" t="n">
        <f aca="false">IF(H182&lt;18,E182*(18-H182),0)</f>
        <v>42.5155436995436</v>
      </c>
      <c r="R182" s="5" t="n">
        <f aca="false">IF(H182&gt;26,E182*(H182-26),0)</f>
        <v>0</v>
      </c>
      <c r="S182" s="5" t="n">
        <f aca="false">Q182+R182</f>
        <v>42.5155436995436</v>
      </c>
      <c r="T182" s="5" t="n">
        <f aca="false">MAX(0,100-S182/5)</f>
        <v>91.4968912600913</v>
      </c>
      <c r="U182" s="5" t="n">
        <f aca="false">(N182+T182)/2</f>
        <v>75.1276362020394</v>
      </c>
      <c r="V182" s="5" t="str">
        <f aca="false">IF(U182&gt;=60,"Recommended","Not Recommended")</f>
        <v>Recommended</v>
      </c>
      <c r="W182" s="5" t="str">
        <f aca="false">IF(Q182&gt;0,"Increase insulation thickness or reduce opening area to cut heat loss",IF(R182&gt;0,"Increase shading/ventilation or reduce solar-facing openings to cut heat gain","Design meets estimated comfort band without major changes"))</f>
        <v>Increase insulation thickness or reduce opening area to cut heat loss</v>
      </c>
      <c r="X182" s="5" t="s">
        <v>555</v>
      </c>
    </row>
    <row r="183" customFormat="false" ht="15" hidden="false" customHeight="false" outlineLevel="0" collapsed="false">
      <c r="A183" s="5" t="str">
        <f aca="false">Combined_Scenarios!A183</f>
        <v>S182</v>
      </c>
      <c r="B183" s="5" t="n">
        <f aca="false">0.5+Combined_Scenarios!AA183*10</f>
        <v>0.81055900621118</v>
      </c>
      <c r="C183" s="5" t="n">
        <f aca="false">0.33*B183*Combined_Scenarios!Z183</f>
        <v>7.38257142857143</v>
      </c>
      <c r="D183" s="5" t="n">
        <f aca="false">Combined_Scenarios!W183*Combined_Scenarios!X183</f>
        <v>34.4963144963145</v>
      </c>
      <c r="E183" s="5" t="n">
        <f aca="false">C183+D183</f>
        <v>41.8788859248859</v>
      </c>
      <c r="F183" s="5" t="n">
        <f aca="false">0.5*Combined_Scenarios!Y183</f>
        <v>0.5</v>
      </c>
      <c r="G183" s="5" t="n">
        <f aca="false">Combined_Scenarios!K183*F183</f>
        <v>93.75</v>
      </c>
      <c r="H183" s="5" t="n">
        <f aca="false">Combined_Scenarios!H183+IF(E183=0,0,G183/E183)</f>
        <v>27.2385982322488</v>
      </c>
      <c r="I183" s="5" t="n">
        <f aca="false">H183-Combined_Scenarios!H183</f>
        <v>2.23859823224883</v>
      </c>
      <c r="J183" s="5" t="n">
        <f aca="false">E183*I183</f>
        <v>93.75</v>
      </c>
      <c r="K183" s="5" t="n">
        <f aca="false">0.31*Combined_Scenarios!H183+17.8</f>
        <v>25.55</v>
      </c>
      <c r="L183" s="5" t="n">
        <f aca="false">H183-K183</f>
        <v>1.68859823224883</v>
      </c>
      <c r="M183" s="5" t="str">
        <f aca="false">IF(AND(H183&gt;=12,H183&lt;=35),"Within safe range","Outside safe range")</f>
        <v>Within safe range</v>
      </c>
      <c r="N183" s="5" t="n">
        <f aca="false">MAX(0,100-ABS(L183)*8)</f>
        <v>86.4912141420094</v>
      </c>
      <c r="O183" s="5" t="n">
        <f aca="false">MAX(-3,MIN(3,L183/3))</f>
        <v>0.562866077416276</v>
      </c>
      <c r="P183" s="5" t="n">
        <f aca="false">100-95*EXP(-(0.03353*O183^4+0.2179*O183^2))</f>
        <v>11.6349377414276</v>
      </c>
      <c r="Q183" s="5" t="n">
        <f aca="false">IF(H183&lt;18,E183*(18-H183),0)</f>
        <v>0</v>
      </c>
      <c r="R183" s="5" t="n">
        <f aca="false">IF(H183&gt;26,E183*(H183-26),0)</f>
        <v>51.8711140751141</v>
      </c>
      <c r="S183" s="5" t="n">
        <f aca="false">Q183+R183</f>
        <v>51.8711140751141</v>
      </c>
      <c r="T183" s="5" t="n">
        <f aca="false">MAX(0,100-S183/5)</f>
        <v>89.6257771849772</v>
      </c>
      <c r="U183" s="5" t="n">
        <f aca="false">(N183+T183)/2</f>
        <v>88.0584956634933</v>
      </c>
      <c r="V183" s="5" t="str">
        <f aca="false">IF(U183&gt;=60,"Recommended","Not Recommended")</f>
        <v>Recommended</v>
      </c>
      <c r="W183" s="5" t="str">
        <f aca="false">IF(Q183&gt;0,"Increase insulation thickness or reduce opening area to cut heat loss",IF(R183&gt;0,"Increase shading/ventilation or reduce solar-facing openings to cut heat gain","Design meets estimated comfort band without major changes"))</f>
        <v>Increase shading/ventilation or reduce solar-facing openings to cut heat gain</v>
      </c>
      <c r="X183" s="5" t="s">
        <v>555</v>
      </c>
    </row>
    <row r="184" customFormat="false" ht="15" hidden="false" customHeight="false" outlineLevel="0" collapsed="false">
      <c r="A184" s="5" t="str">
        <f aca="false">Combined_Scenarios!A184</f>
        <v>S183</v>
      </c>
      <c r="B184" s="5" t="n">
        <f aca="false">0.5+Combined_Scenarios!AA184*10</f>
        <v>0.81055900621118</v>
      </c>
      <c r="C184" s="5" t="n">
        <f aca="false">0.33*B184*Combined_Scenarios!Z184</f>
        <v>7.38257142857143</v>
      </c>
      <c r="D184" s="5" t="n">
        <f aca="false">Combined_Scenarios!W184*Combined_Scenarios!X184</f>
        <v>34.4963144963145</v>
      </c>
      <c r="E184" s="5" t="n">
        <f aca="false">C184+D184</f>
        <v>41.8788859248859</v>
      </c>
      <c r="F184" s="5" t="n">
        <f aca="false">0.5*Combined_Scenarios!Y184</f>
        <v>0.5</v>
      </c>
      <c r="G184" s="5" t="n">
        <f aca="false">Combined_Scenarios!K184*F184</f>
        <v>114.583333333333</v>
      </c>
      <c r="H184" s="5" t="n">
        <f aca="false">Combined_Scenarios!H184+IF(E184=0,0,G184/E184)</f>
        <v>35.7360645060819</v>
      </c>
      <c r="I184" s="5" t="n">
        <f aca="false">H184-Combined_Scenarios!H184</f>
        <v>2.7360645060819</v>
      </c>
      <c r="J184" s="5" t="n">
        <f aca="false">E184*I184</f>
        <v>114.583333333333</v>
      </c>
      <c r="K184" s="5" t="n">
        <f aca="false">0.31*Combined_Scenarios!H184+17.8</f>
        <v>28.03</v>
      </c>
      <c r="L184" s="5" t="n">
        <f aca="false">H184-K184</f>
        <v>7.7060645060819</v>
      </c>
      <c r="M184" s="5" t="str">
        <f aca="false">IF(AND(H184&gt;=12,H184&lt;=35),"Within safe range","Outside safe range")</f>
        <v>Outside safe range</v>
      </c>
      <c r="N184" s="5" t="n">
        <f aca="false">MAX(0,100-ABS(L184)*8)</f>
        <v>38.3514839513448</v>
      </c>
      <c r="O184" s="5" t="n">
        <f aca="false">MAX(-3,MIN(3,L184/3))</f>
        <v>2.56868816869397</v>
      </c>
      <c r="P184" s="5" t="n">
        <f aca="false">100-95*EXP(-(0.03353*O184^4+0.2179*O184^2))</f>
        <v>94.7596619382351</v>
      </c>
      <c r="Q184" s="5" t="n">
        <f aca="false">IF(H184&lt;18,E184*(18-H184),0)</f>
        <v>0</v>
      </c>
      <c r="R184" s="5" t="n">
        <f aca="false">IF(H184&gt;26,E184*(H184-26),0)</f>
        <v>407.735534807535</v>
      </c>
      <c r="S184" s="5" t="n">
        <f aca="false">Q184+R184</f>
        <v>407.735534807535</v>
      </c>
      <c r="T184" s="5" t="n">
        <f aca="false">MAX(0,100-S184/5)</f>
        <v>18.4528930384931</v>
      </c>
      <c r="U184" s="5" t="n">
        <f aca="false">(N184+T184)/2</f>
        <v>28.4021884949189</v>
      </c>
      <c r="V184" s="5" t="str">
        <f aca="false">IF(U184&gt;=60,"Recommended","Not Recommended")</f>
        <v>Not Recommended</v>
      </c>
      <c r="W184" s="5" t="str">
        <f aca="false">IF(Q184&gt;0,"Increase insulation thickness or reduce opening area to cut heat loss",IF(R184&gt;0,"Increase shading/ventilation or reduce solar-facing openings to cut heat gain","Design meets estimated comfort band without major changes"))</f>
        <v>Increase shading/ventilation or reduce solar-facing openings to cut heat gain</v>
      </c>
      <c r="X184" s="5" t="s">
        <v>555</v>
      </c>
    </row>
    <row r="185" customFormat="false" ht="15" hidden="false" customHeight="false" outlineLevel="0" collapsed="false">
      <c r="A185" s="5" t="str">
        <f aca="false">Combined_Scenarios!A185</f>
        <v>S184</v>
      </c>
      <c r="B185" s="5" t="n">
        <f aca="false">0.5+Combined_Scenarios!AA185*10</f>
        <v>0.81055900621118</v>
      </c>
      <c r="C185" s="5" t="n">
        <f aca="false">0.33*B185*Combined_Scenarios!Z185</f>
        <v>7.38257142857143</v>
      </c>
      <c r="D185" s="5" t="n">
        <f aca="false">Combined_Scenarios!W185*Combined_Scenarios!X185</f>
        <v>34.4963144963145</v>
      </c>
      <c r="E185" s="5" t="n">
        <f aca="false">C185+D185</f>
        <v>41.8788859248859</v>
      </c>
      <c r="F185" s="5" t="n">
        <f aca="false">0.5*Combined_Scenarios!Y185</f>
        <v>0.5</v>
      </c>
      <c r="G185" s="5" t="n">
        <f aca="false">Combined_Scenarios!K185*F185</f>
        <v>108.333333333333</v>
      </c>
      <c r="H185" s="5" t="n">
        <f aca="false">Combined_Scenarios!H185+IF(E185=0,0,G185/E185)</f>
        <v>32.586824623932</v>
      </c>
      <c r="I185" s="5" t="n">
        <f aca="false">H185-Combined_Scenarios!H185</f>
        <v>2.58682462393198</v>
      </c>
      <c r="J185" s="5" t="n">
        <f aca="false">E185*I185</f>
        <v>108.333333333333</v>
      </c>
      <c r="K185" s="5" t="n">
        <f aca="false">0.31*Combined_Scenarios!H185+17.8</f>
        <v>27.1</v>
      </c>
      <c r="L185" s="5" t="n">
        <f aca="false">H185-K185</f>
        <v>5.48682462393198</v>
      </c>
      <c r="M185" s="5" t="str">
        <f aca="false">IF(AND(H185&gt;=12,H185&lt;=35),"Within safe range","Outside safe range")</f>
        <v>Within safe range</v>
      </c>
      <c r="N185" s="5" t="n">
        <f aca="false">MAX(0,100-ABS(L185)*8)</f>
        <v>56.1054030085442</v>
      </c>
      <c r="O185" s="5" t="n">
        <f aca="false">MAX(-3,MIN(3,L185/3))</f>
        <v>1.82894154131066</v>
      </c>
      <c r="P185" s="5" t="n">
        <f aca="false">100-95*EXP(-(0.03353*O185^4+0.2179*O185^2))</f>
        <v>68.505234038598</v>
      </c>
      <c r="Q185" s="5" t="n">
        <f aca="false">IF(H185&lt;18,E185*(18-H185),0)</f>
        <v>0</v>
      </c>
      <c r="R185" s="5" t="n">
        <f aca="false">IF(H185&gt;26,E185*(H185-26),0)</f>
        <v>275.848877032877</v>
      </c>
      <c r="S185" s="5" t="n">
        <f aca="false">Q185+R185</f>
        <v>275.848877032877</v>
      </c>
      <c r="T185" s="5" t="n">
        <f aca="false">MAX(0,100-S185/5)</f>
        <v>44.8302245934246</v>
      </c>
      <c r="U185" s="5" t="n">
        <f aca="false">(N185+T185)/2</f>
        <v>50.4678138009844</v>
      </c>
      <c r="V185" s="5" t="str">
        <f aca="false">IF(U185&gt;=60,"Recommended","Not Recommended")</f>
        <v>Not Recommended</v>
      </c>
      <c r="W185" s="5" t="str">
        <f aca="false">IF(Q185&gt;0,"Increase insulation thickness or reduce opening area to cut heat loss",IF(R185&gt;0,"Increase shading/ventilation or reduce solar-facing openings to cut heat gain","Design meets estimated comfort band without major changes"))</f>
        <v>Increase shading/ventilation or reduce solar-facing openings to cut heat gain</v>
      </c>
      <c r="X185" s="5" t="s">
        <v>555</v>
      </c>
    </row>
    <row r="186" customFormat="false" ht="15" hidden="false" customHeight="false" outlineLevel="0" collapsed="false">
      <c r="A186" s="5" t="str">
        <f aca="false">Combined_Scenarios!A186</f>
        <v>S185</v>
      </c>
      <c r="B186" s="5" t="n">
        <f aca="false">0.5+Combined_Scenarios!AA186*10</f>
        <v>0.878787878787879</v>
      </c>
      <c r="C186" s="5" t="n">
        <f aca="false">0.33*B186*Combined_Scenarios!Z186</f>
        <v>5.742</v>
      </c>
      <c r="D186" s="5" t="n">
        <f aca="false">Combined_Scenarios!W186*Combined_Scenarios!X186</f>
        <v>147.674418604651</v>
      </c>
      <c r="E186" s="5" t="n">
        <f aca="false">C186+D186</f>
        <v>153.416418604651</v>
      </c>
      <c r="F186" s="5" t="n">
        <f aca="false">0.5*Combined_Scenarios!Y186</f>
        <v>0.5</v>
      </c>
      <c r="G186" s="5" t="n">
        <f aca="false">Combined_Scenarios!K186*F186</f>
        <v>83.3333333333333</v>
      </c>
      <c r="H186" s="5" t="n">
        <f aca="false">Combined_Scenarios!H186+IF(E186=0,0,G186/E186)</f>
        <v>-7.45681606902792</v>
      </c>
      <c r="I186" s="5" t="n">
        <f aca="false">H186-Combined_Scenarios!H186</f>
        <v>0.543183930972085</v>
      </c>
      <c r="J186" s="5" t="n">
        <f aca="false">E186*I186</f>
        <v>83.3333333333334</v>
      </c>
      <c r="K186" s="5" t="n">
        <f aca="false">0.31*Combined_Scenarios!H186+17.8</f>
        <v>15.32</v>
      </c>
      <c r="L186" s="5" t="n">
        <f aca="false">H186-K186</f>
        <v>-22.7768160690279</v>
      </c>
      <c r="M186" s="5" t="str">
        <f aca="false">IF(AND(H186&gt;=12,H186&lt;=35),"Within safe range","Outside safe range")</f>
        <v>Outside safe range</v>
      </c>
      <c r="N186" s="5" t="n">
        <f aca="false">MAX(0,100-ABS(L186)*8)</f>
        <v>0</v>
      </c>
      <c r="O186" s="5" t="n">
        <f aca="false">MAX(-3,MIN(3,L186/3))</f>
        <v>-3</v>
      </c>
      <c r="P186" s="5" t="n">
        <f aca="false">100-95*EXP(-(0.03353*O186^4+0.2179*O186^2))</f>
        <v>99.1158717152693</v>
      </c>
      <c r="Q186" s="5" t="n">
        <f aca="false">IF(H186&lt;18,E186*(18-H186),0)</f>
        <v>3905.4935503876</v>
      </c>
      <c r="R186" s="5" t="n">
        <f aca="false">IF(H186&gt;26,E186*(H186-26),0)</f>
        <v>0</v>
      </c>
      <c r="S186" s="5" t="n">
        <f aca="false">Q186+R186</f>
        <v>3905.4935503876</v>
      </c>
      <c r="T186" s="5" t="n">
        <f aca="false">MAX(0,100-S186/5)</f>
        <v>0</v>
      </c>
      <c r="U186" s="5" t="n">
        <f aca="false">(N186+T186)/2</f>
        <v>0</v>
      </c>
      <c r="V186" s="5" t="str">
        <f aca="false">IF(U186&gt;=60,"Recommended","Not Recommended")</f>
        <v>Not Recommended</v>
      </c>
      <c r="W186" s="5" t="str">
        <f aca="false">IF(Q186&gt;0,"Increase insulation thickness or reduce opening area to cut heat loss",IF(R186&gt;0,"Increase shading/ventilation or reduce solar-facing openings to cut heat gain","Design meets estimated comfort band without major changes"))</f>
        <v>Increase insulation thickness or reduce opening area to cut heat loss</v>
      </c>
      <c r="X186" s="5" t="s">
        <v>555</v>
      </c>
    </row>
    <row r="187" customFormat="false" ht="15" hidden="false" customHeight="false" outlineLevel="0" collapsed="false">
      <c r="A187" s="5" t="str">
        <f aca="false">Combined_Scenarios!A187</f>
        <v>S186</v>
      </c>
      <c r="B187" s="5" t="n">
        <f aca="false">0.5+Combined_Scenarios!AA187*10</f>
        <v>0.878787878787879</v>
      </c>
      <c r="C187" s="5" t="n">
        <f aca="false">0.33*B187*Combined_Scenarios!Z187</f>
        <v>5.742</v>
      </c>
      <c r="D187" s="5" t="n">
        <f aca="false">Combined_Scenarios!W187*Combined_Scenarios!X187</f>
        <v>147.674418604651</v>
      </c>
      <c r="E187" s="5" t="n">
        <f aca="false">C187+D187</f>
        <v>153.416418604651</v>
      </c>
      <c r="F187" s="5" t="n">
        <f aca="false">0.5*Combined_Scenarios!Y187</f>
        <v>0.5</v>
      </c>
      <c r="G187" s="5" t="n">
        <f aca="false">Combined_Scenarios!K187*F187</f>
        <v>150</v>
      </c>
      <c r="H187" s="5" t="n">
        <f aca="false">Combined_Scenarios!H187+IF(E187=0,0,G187/E187)</f>
        <v>16.9777310757498</v>
      </c>
      <c r="I187" s="5" t="n">
        <f aca="false">H187-Combined_Scenarios!H187</f>
        <v>0.977731075749752</v>
      </c>
      <c r="J187" s="5" t="n">
        <f aca="false">E187*I187</f>
        <v>150</v>
      </c>
      <c r="K187" s="5" t="n">
        <f aca="false">0.31*Combined_Scenarios!H187+17.8</f>
        <v>22.76</v>
      </c>
      <c r="L187" s="5" t="n">
        <f aca="false">H187-K187</f>
        <v>-5.78226892425025</v>
      </c>
      <c r="M187" s="5" t="str">
        <f aca="false">IF(AND(H187&gt;=12,H187&lt;=35),"Within safe range","Outside safe range")</f>
        <v>Within safe range</v>
      </c>
      <c r="N187" s="5" t="n">
        <f aca="false">MAX(0,100-ABS(L187)*8)</f>
        <v>53.741848605998</v>
      </c>
      <c r="O187" s="5" t="n">
        <f aca="false">MAX(-3,MIN(3,L187/3))</f>
        <v>-1.92742297475008</v>
      </c>
      <c r="P187" s="5" t="n">
        <f aca="false">100-95*EXP(-(0.03353*O187^4+0.2179*O187^2))</f>
        <v>73.3805456686205</v>
      </c>
      <c r="Q187" s="5" t="n">
        <f aca="false">IF(H187&lt;18,E187*(18-H187),0)</f>
        <v>156.832837209303</v>
      </c>
      <c r="R187" s="5" t="n">
        <f aca="false">IF(H187&gt;26,E187*(H187-26),0)</f>
        <v>0</v>
      </c>
      <c r="S187" s="5" t="n">
        <f aca="false">Q187+R187</f>
        <v>156.832837209303</v>
      </c>
      <c r="T187" s="5" t="n">
        <f aca="false">MAX(0,100-S187/5)</f>
        <v>68.6334325581395</v>
      </c>
      <c r="U187" s="5" t="n">
        <f aca="false">(N187+T187)/2</f>
        <v>61.1876405820687</v>
      </c>
      <c r="V187" s="5" t="str">
        <f aca="false">IF(U187&gt;=60,"Recommended","Not Recommended")</f>
        <v>Recommended</v>
      </c>
      <c r="W187" s="5" t="str">
        <f aca="false">IF(Q187&gt;0,"Increase insulation thickness or reduce opening area to cut heat loss",IF(R187&gt;0,"Increase shading/ventilation or reduce solar-facing openings to cut heat gain","Design meets estimated comfort band without major changes"))</f>
        <v>Increase insulation thickness or reduce opening area to cut heat loss</v>
      </c>
      <c r="X187" s="5" t="s">
        <v>555</v>
      </c>
    </row>
    <row r="188" customFormat="false" ht="15" hidden="false" customHeight="false" outlineLevel="0" collapsed="false">
      <c r="A188" s="5" t="str">
        <f aca="false">Combined_Scenarios!A188</f>
        <v>S187</v>
      </c>
      <c r="B188" s="5" t="n">
        <f aca="false">0.5+Combined_Scenarios!AA188*10</f>
        <v>0.878787878787879</v>
      </c>
      <c r="C188" s="5" t="n">
        <f aca="false">0.33*B188*Combined_Scenarios!Z188</f>
        <v>5.742</v>
      </c>
      <c r="D188" s="5" t="n">
        <f aca="false">Combined_Scenarios!W188*Combined_Scenarios!X188</f>
        <v>147.674418604651</v>
      </c>
      <c r="E188" s="5" t="n">
        <f aca="false">C188+D188</f>
        <v>153.416418604651</v>
      </c>
      <c r="F188" s="5" t="n">
        <f aca="false">0.5*Combined_Scenarios!Y188</f>
        <v>0.5</v>
      </c>
      <c r="G188" s="5" t="n">
        <f aca="false">Combined_Scenarios!K188*F188</f>
        <v>125</v>
      </c>
      <c r="H188" s="5" t="n">
        <f aca="false">Combined_Scenarios!H188+IF(E188=0,0,G188/E188)</f>
        <v>14.8147758964581</v>
      </c>
      <c r="I188" s="5" t="n">
        <f aca="false">H188-Combined_Scenarios!H188</f>
        <v>0.814775896458128</v>
      </c>
      <c r="J188" s="5" t="n">
        <f aca="false">E188*I188</f>
        <v>125</v>
      </c>
      <c r="K188" s="5" t="n">
        <f aca="false">0.31*Combined_Scenarios!H188+17.8</f>
        <v>22.14</v>
      </c>
      <c r="L188" s="5" t="n">
        <f aca="false">H188-K188</f>
        <v>-7.32522410354187</v>
      </c>
      <c r="M188" s="5" t="str">
        <f aca="false">IF(AND(H188&gt;=12,H188&lt;=35),"Within safe range","Outside safe range")</f>
        <v>Within safe range</v>
      </c>
      <c r="N188" s="5" t="n">
        <f aca="false">MAX(0,100-ABS(L188)*8)</f>
        <v>41.398207171665</v>
      </c>
      <c r="O188" s="5" t="n">
        <f aca="false">MAX(-3,MIN(3,L188/3))</f>
        <v>-2.44174136784729</v>
      </c>
      <c r="P188" s="5" t="n">
        <f aca="false">100-95*EXP(-(0.03353*O188^4+0.2179*O188^2))</f>
        <v>92.1315898958269</v>
      </c>
      <c r="Q188" s="5" t="n">
        <f aca="false">IF(H188&lt;18,E188*(18-H188),0)</f>
        <v>488.665674418605</v>
      </c>
      <c r="R188" s="5" t="n">
        <f aca="false">IF(H188&gt;26,E188*(H188-26),0)</f>
        <v>0</v>
      </c>
      <c r="S188" s="5" t="n">
        <f aca="false">Q188+R188</f>
        <v>488.665674418605</v>
      </c>
      <c r="T188" s="5" t="n">
        <f aca="false">MAX(0,100-S188/5)</f>
        <v>2.26686511627909</v>
      </c>
      <c r="U188" s="5" t="n">
        <f aca="false">(N188+T188)/2</f>
        <v>21.8325361439721</v>
      </c>
      <c r="V188" s="5" t="str">
        <f aca="false">IF(U188&gt;=60,"Recommended","Not Recommended")</f>
        <v>Not Recommended</v>
      </c>
      <c r="W188" s="5" t="str">
        <f aca="false">IF(Q188&gt;0,"Increase insulation thickness or reduce opening area to cut heat loss",IF(R188&gt;0,"Increase shading/ventilation or reduce solar-facing openings to cut heat gain","Design meets estimated comfort band without major changes"))</f>
        <v>Increase insulation thickness or reduce opening area to cut heat loss</v>
      </c>
      <c r="X188" s="5" t="s">
        <v>555</v>
      </c>
    </row>
    <row r="189" customFormat="false" ht="15" hidden="false" customHeight="false" outlineLevel="0" collapsed="false">
      <c r="A189" s="5" t="str">
        <f aca="false">Combined_Scenarios!A189</f>
        <v>S188</v>
      </c>
      <c r="B189" s="5" t="n">
        <f aca="false">0.5+Combined_Scenarios!AA189*10</f>
        <v>0.878787878787879</v>
      </c>
      <c r="C189" s="5" t="n">
        <f aca="false">0.33*B189*Combined_Scenarios!Z189</f>
        <v>5.742</v>
      </c>
      <c r="D189" s="5" t="n">
        <f aca="false">Combined_Scenarios!W189*Combined_Scenarios!X189</f>
        <v>147.674418604651</v>
      </c>
      <c r="E189" s="5" t="n">
        <f aca="false">C189+D189</f>
        <v>153.416418604651</v>
      </c>
      <c r="F189" s="5" t="n">
        <f aca="false">0.5*Combined_Scenarios!Y189</f>
        <v>0.5</v>
      </c>
      <c r="G189" s="5" t="n">
        <f aca="false">Combined_Scenarios!K189*F189</f>
        <v>93.75</v>
      </c>
      <c r="H189" s="5" t="n">
        <f aca="false">Combined_Scenarios!H189+IF(E189=0,0,G189/E189)</f>
        <v>25.6110819223436</v>
      </c>
      <c r="I189" s="5" t="n">
        <f aca="false">H189-Combined_Scenarios!H189</f>
        <v>0.611081922343594</v>
      </c>
      <c r="J189" s="5" t="n">
        <f aca="false">E189*I189</f>
        <v>93.7499999999997</v>
      </c>
      <c r="K189" s="5" t="n">
        <f aca="false">0.31*Combined_Scenarios!H189+17.8</f>
        <v>25.55</v>
      </c>
      <c r="L189" s="5" t="n">
        <f aca="false">H189-K189</f>
        <v>0.0610819223435932</v>
      </c>
      <c r="M189" s="5" t="str">
        <f aca="false">IF(AND(H189&gt;=12,H189&lt;=35),"Within safe range","Outside safe range")</f>
        <v>Within safe range</v>
      </c>
      <c r="N189" s="5" t="n">
        <f aca="false">MAX(0,100-ABS(L189)*8)</f>
        <v>99.5113446212513</v>
      </c>
      <c r="O189" s="5" t="n">
        <f aca="false">MAX(-3,MIN(3,L189/3))</f>
        <v>0.0203606407811977</v>
      </c>
      <c r="P189" s="5" t="n">
        <f aca="false">100-95*EXP(-(0.03353*O189^4+0.2179*O189^2))</f>
        <v>5.00858166991732</v>
      </c>
      <c r="Q189" s="5" t="n">
        <f aca="false">IF(H189&lt;18,E189*(18-H189),0)</f>
        <v>0</v>
      </c>
      <c r="R189" s="5" t="n">
        <f aca="false">IF(H189&gt;26,E189*(H189-26),0)</f>
        <v>0</v>
      </c>
      <c r="S189" s="5" t="n">
        <f aca="false">Q189+R189</f>
        <v>0</v>
      </c>
      <c r="T189" s="5" t="n">
        <f aca="false">MAX(0,100-S189/5)</f>
        <v>100</v>
      </c>
      <c r="U189" s="5" t="n">
        <f aca="false">(N189+T189)/2</f>
        <v>99.7556723106256</v>
      </c>
      <c r="V189" s="5" t="str">
        <f aca="false">IF(U189&gt;=60,"Recommended","Not Recommended")</f>
        <v>Recommended</v>
      </c>
      <c r="W189" s="5" t="str">
        <f aca="false">IF(Q189&gt;0,"Increase insulation thickness or reduce opening area to cut heat loss",IF(R189&gt;0,"Increase shading/ventilation or reduce solar-facing openings to cut heat gain","Design meets estimated comfort band without major changes"))</f>
        <v>Design meets estimated comfort band without major changes</v>
      </c>
      <c r="X189" s="5" t="s">
        <v>555</v>
      </c>
    </row>
    <row r="190" customFormat="false" ht="15" hidden="false" customHeight="false" outlineLevel="0" collapsed="false">
      <c r="A190" s="5" t="str">
        <f aca="false">Combined_Scenarios!A190</f>
        <v>S189</v>
      </c>
      <c r="B190" s="5" t="n">
        <f aca="false">0.5+Combined_Scenarios!AA190*10</f>
        <v>0.878787878787879</v>
      </c>
      <c r="C190" s="5" t="n">
        <f aca="false">0.33*B190*Combined_Scenarios!Z190</f>
        <v>5.742</v>
      </c>
      <c r="D190" s="5" t="n">
        <f aca="false">Combined_Scenarios!W190*Combined_Scenarios!X190</f>
        <v>147.674418604651</v>
      </c>
      <c r="E190" s="5" t="n">
        <f aca="false">C190+D190</f>
        <v>153.416418604651</v>
      </c>
      <c r="F190" s="5" t="n">
        <f aca="false">0.5*Combined_Scenarios!Y190</f>
        <v>0.5</v>
      </c>
      <c r="G190" s="5" t="n">
        <f aca="false">Combined_Scenarios!K190*F190</f>
        <v>114.583333333333</v>
      </c>
      <c r="H190" s="5" t="n">
        <f aca="false">Combined_Scenarios!H190+IF(E190=0,0,G190/E190)</f>
        <v>33.7468779050866</v>
      </c>
      <c r="I190" s="5" t="n">
        <f aca="false">H190-Combined_Scenarios!H190</f>
        <v>0.74687790508662</v>
      </c>
      <c r="J190" s="5" t="n">
        <f aca="false">E190*I190</f>
        <v>114.583333333334</v>
      </c>
      <c r="K190" s="5" t="n">
        <f aca="false">0.31*Combined_Scenarios!H190+17.8</f>
        <v>28.03</v>
      </c>
      <c r="L190" s="5" t="n">
        <f aca="false">H190-K190</f>
        <v>5.71687790508662</v>
      </c>
      <c r="M190" s="5" t="str">
        <f aca="false">IF(AND(H190&gt;=12,H190&lt;=35),"Within safe range","Outside safe range")</f>
        <v>Within safe range</v>
      </c>
      <c r="N190" s="5" t="n">
        <f aca="false">MAX(0,100-ABS(L190)*8)</f>
        <v>54.2649767593071</v>
      </c>
      <c r="O190" s="5" t="n">
        <f aca="false">MAX(-3,MIN(3,L190/3))</f>
        <v>1.90562596836221</v>
      </c>
      <c r="P190" s="5" t="n">
        <f aca="false">100-95*EXP(-(0.03353*O190^4+0.2179*O190^2))</f>
        <v>72.3278153928555</v>
      </c>
      <c r="Q190" s="5" t="n">
        <f aca="false">IF(H190&lt;18,E190*(18-H190),0)</f>
        <v>0</v>
      </c>
      <c r="R190" s="5" t="n">
        <f aca="false">IF(H190&gt;26,E190*(H190-26),0)</f>
        <v>1188.49826356589</v>
      </c>
      <c r="S190" s="5" t="n">
        <f aca="false">Q190+R190</f>
        <v>1188.49826356589</v>
      </c>
      <c r="T190" s="5" t="n">
        <f aca="false">MAX(0,100-S190/5)</f>
        <v>0</v>
      </c>
      <c r="U190" s="5" t="n">
        <f aca="false">(N190+T190)/2</f>
        <v>27.1324883796535</v>
      </c>
      <c r="V190" s="5" t="str">
        <f aca="false">IF(U190&gt;=60,"Recommended","Not Recommended")</f>
        <v>Not Recommended</v>
      </c>
      <c r="W190" s="5" t="str">
        <f aca="false">IF(Q190&gt;0,"Increase insulation thickness or reduce opening area to cut heat loss",IF(R190&gt;0,"Increase shading/ventilation or reduce solar-facing openings to cut heat gain","Design meets estimated comfort band without major changes"))</f>
        <v>Increase shading/ventilation or reduce solar-facing openings to cut heat gain</v>
      </c>
      <c r="X190" s="5" t="s">
        <v>555</v>
      </c>
    </row>
    <row r="191" customFormat="false" ht="15" hidden="false" customHeight="false" outlineLevel="0" collapsed="false">
      <c r="A191" s="5" t="str">
        <f aca="false">Combined_Scenarios!A191</f>
        <v>S190</v>
      </c>
      <c r="B191" s="5" t="n">
        <f aca="false">0.5+Combined_Scenarios!AA191*10</f>
        <v>0.878787878787879</v>
      </c>
      <c r="C191" s="5" t="n">
        <f aca="false">0.33*B191*Combined_Scenarios!Z191</f>
        <v>5.742</v>
      </c>
      <c r="D191" s="5" t="n">
        <f aca="false">Combined_Scenarios!W191*Combined_Scenarios!X191</f>
        <v>147.674418604651</v>
      </c>
      <c r="E191" s="5" t="n">
        <f aca="false">C191+D191</f>
        <v>153.416418604651</v>
      </c>
      <c r="F191" s="5" t="n">
        <f aca="false">0.5*Combined_Scenarios!Y191</f>
        <v>0.5</v>
      </c>
      <c r="G191" s="5" t="n">
        <f aca="false">Combined_Scenarios!K191*F191</f>
        <v>108.333333333333</v>
      </c>
      <c r="H191" s="5" t="n">
        <f aca="false">Combined_Scenarios!H191+IF(E191=0,0,G191/E191)</f>
        <v>30.7061391102637</v>
      </c>
      <c r="I191" s="5" t="n">
        <f aca="false">H191-Combined_Scenarios!H191</f>
        <v>0.70613911026371</v>
      </c>
      <c r="J191" s="5" t="n">
        <f aca="false">E191*I191</f>
        <v>108.333333333333</v>
      </c>
      <c r="K191" s="5" t="n">
        <f aca="false">0.31*Combined_Scenarios!H191+17.8</f>
        <v>27.1</v>
      </c>
      <c r="L191" s="5" t="n">
        <f aca="false">H191-K191</f>
        <v>3.60613911026371</v>
      </c>
      <c r="M191" s="5" t="str">
        <f aca="false">IF(AND(H191&gt;=12,H191&lt;=35),"Within safe range","Outside safe range")</f>
        <v>Within safe range</v>
      </c>
      <c r="N191" s="5" t="n">
        <f aca="false">MAX(0,100-ABS(L191)*8)</f>
        <v>71.1508871178903</v>
      </c>
      <c r="O191" s="5" t="n">
        <f aca="false">MAX(-3,MIN(3,L191/3))</f>
        <v>1.2020463700879</v>
      </c>
      <c r="P191" s="5" t="n">
        <f aca="false">100-95*EXP(-(0.03353*O191^4+0.2179*O191^2))</f>
        <v>35.3475163422544</v>
      </c>
      <c r="Q191" s="5" t="n">
        <f aca="false">IF(H191&lt;18,E191*(18-H191),0)</f>
        <v>0</v>
      </c>
      <c r="R191" s="5" t="n">
        <f aca="false">IF(H191&gt;26,E191*(H191-26),0)</f>
        <v>721.999007751938</v>
      </c>
      <c r="S191" s="5" t="n">
        <f aca="false">Q191+R191</f>
        <v>721.999007751938</v>
      </c>
      <c r="T191" s="5" t="n">
        <f aca="false">MAX(0,100-S191/5)</f>
        <v>0</v>
      </c>
      <c r="U191" s="5" t="n">
        <f aca="false">(N191+T191)/2</f>
        <v>35.5754435589452</v>
      </c>
      <c r="V191" s="5" t="str">
        <f aca="false">IF(U191&gt;=60,"Recommended","Not Recommended")</f>
        <v>Not Recommended</v>
      </c>
      <c r="W191" s="5" t="str">
        <f aca="false">IF(Q191&gt;0,"Increase insulation thickness or reduce opening area to cut heat loss",IF(R191&gt;0,"Increase shading/ventilation or reduce solar-facing openings to cut heat gain","Design meets estimated comfort band without major changes"))</f>
        <v>Increase shading/ventilation or reduce solar-facing openings to cut heat gain</v>
      </c>
      <c r="X191" s="5" t="s">
        <v>555</v>
      </c>
    </row>
    <row r="192" customFormat="false" ht="15" hidden="false" customHeight="false" outlineLevel="0" collapsed="false">
      <c r="A192" s="5" t="str">
        <f aca="false">Combined_Scenarios!A192</f>
        <v>S191</v>
      </c>
      <c r="B192" s="5" t="n">
        <f aca="false">0.5+Combined_Scenarios!AA192*10</f>
        <v>0.81055900621118</v>
      </c>
      <c r="C192" s="5" t="n">
        <f aca="false">0.33*B192*Combined_Scenarios!Z192</f>
        <v>7.38257142857143</v>
      </c>
      <c r="D192" s="5" t="n">
        <f aca="false">Combined_Scenarios!W192*Combined_Scenarios!X192</f>
        <v>181.395348837209</v>
      </c>
      <c r="E192" s="5" t="n">
        <f aca="false">C192+D192</f>
        <v>188.777920265781</v>
      </c>
      <c r="F192" s="5" t="n">
        <f aca="false">0.5*Combined_Scenarios!Y192</f>
        <v>0.5</v>
      </c>
      <c r="G192" s="5" t="n">
        <f aca="false">Combined_Scenarios!K192*F192</f>
        <v>83.3333333333333</v>
      </c>
      <c r="H192" s="5" t="n">
        <f aca="false">Combined_Scenarios!H192+IF(E192=0,0,G192/E192)</f>
        <v>-7.55856419428709</v>
      </c>
      <c r="I192" s="5" t="n">
        <f aca="false">H192-Combined_Scenarios!H192</f>
        <v>0.441435805712915</v>
      </c>
      <c r="J192" s="5" t="n">
        <f aca="false">E192*I192</f>
        <v>83.3333333333334</v>
      </c>
      <c r="K192" s="5" t="n">
        <f aca="false">0.31*Combined_Scenarios!H192+17.8</f>
        <v>15.32</v>
      </c>
      <c r="L192" s="5" t="n">
        <f aca="false">H192-K192</f>
        <v>-22.8785641942871</v>
      </c>
      <c r="M192" s="5" t="str">
        <f aca="false">IF(AND(H192&gt;=12,H192&lt;=35),"Within safe range","Outside safe range")</f>
        <v>Outside safe range</v>
      </c>
      <c r="N192" s="5" t="n">
        <f aca="false">MAX(0,100-ABS(L192)*8)</f>
        <v>0</v>
      </c>
      <c r="O192" s="5" t="n">
        <f aca="false">MAX(-3,MIN(3,L192/3))</f>
        <v>-3</v>
      </c>
      <c r="P192" s="5" t="n">
        <f aca="false">100-95*EXP(-(0.03353*O192^4+0.2179*O192^2))</f>
        <v>99.1158717152693</v>
      </c>
      <c r="Q192" s="5" t="n">
        <f aca="false">IF(H192&lt;18,E192*(18-H192),0)</f>
        <v>4824.89259357697</v>
      </c>
      <c r="R192" s="5" t="n">
        <f aca="false">IF(H192&gt;26,E192*(H192-26),0)</f>
        <v>0</v>
      </c>
      <c r="S192" s="5" t="n">
        <f aca="false">Q192+R192</f>
        <v>4824.89259357697</v>
      </c>
      <c r="T192" s="5" t="n">
        <f aca="false">MAX(0,100-S192/5)</f>
        <v>0</v>
      </c>
      <c r="U192" s="5" t="n">
        <f aca="false">(N192+T192)/2</f>
        <v>0</v>
      </c>
      <c r="V192" s="5" t="str">
        <f aca="false">IF(U192&gt;=60,"Recommended","Not Recommended")</f>
        <v>Not Recommended</v>
      </c>
      <c r="W192" s="5" t="str">
        <f aca="false">IF(Q192&gt;0,"Increase insulation thickness or reduce opening area to cut heat loss",IF(R192&gt;0,"Increase shading/ventilation or reduce solar-facing openings to cut heat gain","Design meets estimated comfort band without major changes"))</f>
        <v>Increase insulation thickness or reduce opening area to cut heat loss</v>
      </c>
      <c r="X192" s="5" t="s">
        <v>555</v>
      </c>
    </row>
    <row r="193" customFormat="false" ht="15" hidden="false" customHeight="false" outlineLevel="0" collapsed="false">
      <c r="A193" s="5" t="str">
        <f aca="false">Combined_Scenarios!A193</f>
        <v>S192</v>
      </c>
      <c r="B193" s="5" t="n">
        <f aca="false">0.5+Combined_Scenarios!AA193*10</f>
        <v>0.81055900621118</v>
      </c>
      <c r="C193" s="5" t="n">
        <f aca="false">0.33*B193*Combined_Scenarios!Z193</f>
        <v>7.38257142857143</v>
      </c>
      <c r="D193" s="5" t="n">
        <f aca="false">Combined_Scenarios!W193*Combined_Scenarios!X193</f>
        <v>181.395348837209</v>
      </c>
      <c r="E193" s="5" t="n">
        <f aca="false">C193+D193</f>
        <v>188.777920265781</v>
      </c>
      <c r="F193" s="5" t="n">
        <f aca="false">0.5*Combined_Scenarios!Y193</f>
        <v>0.5</v>
      </c>
      <c r="G193" s="5" t="n">
        <f aca="false">Combined_Scenarios!K193*F193</f>
        <v>150</v>
      </c>
      <c r="H193" s="5" t="n">
        <f aca="false">Combined_Scenarios!H193+IF(E193=0,0,G193/E193)</f>
        <v>16.7945844502832</v>
      </c>
      <c r="I193" s="5" t="n">
        <f aca="false">H193-Combined_Scenarios!H193</f>
        <v>0.794584450283246</v>
      </c>
      <c r="J193" s="5" t="n">
        <f aca="false">E193*I193</f>
        <v>150</v>
      </c>
      <c r="K193" s="5" t="n">
        <f aca="false">0.31*Combined_Scenarios!H193+17.8</f>
        <v>22.76</v>
      </c>
      <c r="L193" s="5" t="n">
        <f aca="false">H193-K193</f>
        <v>-5.96541554971676</v>
      </c>
      <c r="M193" s="5" t="str">
        <f aca="false">IF(AND(H193&gt;=12,H193&lt;=35),"Within safe range","Outside safe range")</f>
        <v>Within safe range</v>
      </c>
      <c r="N193" s="5" t="n">
        <f aca="false">MAX(0,100-ABS(L193)*8)</f>
        <v>52.276675602266</v>
      </c>
      <c r="O193" s="5" t="n">
        <f aca="false">MAX(-3,MIN(3,L193/3))</f>
        <v>-1.98847184990559</v>
      </c>
      <c r="P193" s="5" t="n">
        <f aca="false">100-95*EXP(-(0.03353*O193^4+0.2179*O193^2))</f>
        <v>76.238215969944</v>
      </c>
      <c r="Q193" s="5" t="n">
        <f aca="false">IF(H193&lt;18,E193*(18-H193),0)</f>
        <v>227.555840531562</v>
      </c>
      <c r="R193" s="5" t="n">
        <f aca="false">IF(H193&gt;26,E193*(H193-26),0)</f>
        <v>0</v>
      </c>
      <c r="S193" s="5" t="n">
        <f aca="false">Q193+R193</f>
        <v>227.555840531562</v>
      </c>
      <c r="T193" s="5" t="n">
        <f aca="false">MAX(0,100-S193/5)</f>
        <v>54.4888318936877</v>
      </c>
      <c r="U193" s="5" t="n">
        <f aca="false">(N193+T193)/2</f>
        <v>53.3827537479768</v>
      </c>
      <c r="V193" s="5" t="str">
        <f aca="false">IF(U193&gt;=60,"Recommended","Not Recommended")</f>
        <v>Not Recommended</v>
      </c>
      <c r="W193" s="5" t="str">
        <f aca="false">IF(Q193&gt;0,"Increase insulation thickness or reduce opening area to cut heat loss",IF(R193&gt;0,"Increase shading/ventilation or reduce solar-facing openings to cut heat gain","Design meets estimated comfort band without major changes"))</f>
        <v>Increase insulation thickness or reduce opening area to cut heat loss</v>
      </c>
      <c r="X193" s="5" t="s">
        <v>555</v>
      </c>
    </row>
    <row r="194" customFormat="false" ht="15" hidden="false" customHeight="false" outlineLevel="0" collapsed="false">
      <c r="A194" s="5" t="str">
        <f aca="false">Combined_Scenarios!A194</f>
        <v>S193</v>
      </c>
      <c r="B194" s="5" t="n">
        <f aca="false">0.5+Combined_Scenarios!AA194*10</f>
        <v>0.81055900621118</v>
      </c>
      <c r="C194" s="5" t="n">
        <f aca="false">0.33*B194*Combined_Scenarios!Z194</f>
        <v>7.38257142857143</v>
      </c>
      <c r="D194" s="5" t="n">
        <f aca="false">Combined_Scenarios!W194*Combined_Scenarios!X194</f>
        <v>181.395348837209</v>
      </c>
      <c r="E194" s="5" t="n">
        <f aca="false">C194+D194</f>
        <v>188.777920265781</v>
      </c>
      <c r="F194" s="5" t="n">
        <f aca="false">0.5*Combined_Scenarios!Y194</f>
        <v>0.5</v>
      </c>
      <c r="G194" s="5" t="n">
        <f aca="false">Combined_Scenarios!K194*F194</f>
        <v>125</v>
      </c>
      <c r="H194" s="5" t="n">
        <f aca="false">Combined_Scenarios!H194+IF(E194=0,0,G194/E194)</f>
        <v>14.6621537085694</v>
      </c>
      <c r="I194" s="5" t="n">
        <f aca="false">H194-Combined_Scenarios!H194</f>
        <v>0.662153708569372</v>
      </c>
      <c r="J194" s="5" t="n">
        <f aca="false">E194*I194</f>
        <v>125</v>
      </c>
      <c r="K194" s="5" t="n">
        <f aca="false">0.31*Combined_Scenarios!H194+17.8</f>
        <v>22.14</v>
      </c>
      <c r="L194" s="5" t="n">
        <f aca="false">H194-K194</f>
        <v>-7.47784629143063</v>
      </c>
      <c r="M194" s="5" t="str">
        <f aca="false">IF(AND(H194&gt;=12,H194&lt;=35),"Within safe range","Outside safe range")</f>
        <v>Within safe range</v>
      </c>
      <c r="N194" s="5" t="n">
        <f aca="false">MAX(0,100-ABS(L194)*8)</f>
        <v>40.177229668555</v>
      </c>
      <c r="O194" s="5" t="n">
        <f aca="false">MAX(-3,MIN(3,L194/3))</f>
        <v>-2.49261543047688</v>
      </c>
      <c r="P194" s="5" t="n">
        <f aca="false">100-95*EXP(-(0.03353*O194^4+0.2179*O194^2))</f>
        <v>93.2760436152185</v>
      </c>
      <c r="Q194" s="5" t="n">
        <f aca="false">IF(H194&lt;18,E194*(18-H194),0)</f>
        <v>630.111681063123</v>
      </c>
      <c r="R194" s="5" t="n">
        <f aca="false">IF(H194&gt;26,E194*(H194-26),0)</f>
        <v>0</v>
      </c>
      <c r="S194" s="5" t="n">
        <f aca="false">Q194+R194</f>
        <v>630.111681063123</v>
      </c>
      <c r="T194" s="5" t="n">
        <f aca="false">MAX(0,100-S194/5)</f>
        <v>0</v>
      </c>
      <c r="U194" s="5" t="n">
        <f aca="false">(N194+T194)/2</f>
        <v>20.0886148342775</v>
      </c>
      <c r="V194" s="5" t="str">
        <f aca="false">IF(U194&gt;=60,"Recommended","Not Recommended")</f>
        <v>Not Recommended</v>
      </c>
      <c r="W194" s="5" t="str">
        <f aca="false">IF(Q194&gt;0,"Increase insulation thickness or reduce opening area to cut heat loss",IF(R194&gt;0,"Increase shading/ventilation or reduce solar-facing openings to cut heat gain","Design meets estimated comfort band without major changes"))</f>
        <v>Increase insulation thickness or reduce opening area to cut heat loss</v>
      </c>
      <c r="X194" s="5" t="s">
        <v>555</v>
      </c>
    </row>
    <row r="195" customFormat="false" ht="15" hidden="false" customHeight="false" outlineLevel="0" collapsed="false">
      <c r="A195" s="5" t="str">
        <f aca="false">Combined_Scenarios!A195</f>
        <v>S194</v>
      </c>
      <c r="B195" s="5" t="n">
        <f aca="false">0.5+Combined_Scenarios!AA195*10</f>
        <v>0.81055900621118</v>
      </c>
      <c r="C195" s="5" t="n">
        <f aca="false">0.33*B195*Combined_Scenarios!Z195</f>
        <v>7.38257142857143</v>
      </c>
      <c r="D195" s="5" t="n">
        <f aca="false">Combined_Scenarios!W195*Combined_Scenarios!X195</f>
        <v>181.395348837209</v>
      </c>
      <c r="E195" s="5" t="n">
        <f aca="false">C195+D195</f>
        <v>188.777920265781</v>
      </c>
      <c r="F195" s="5" t="n">
        <f aca="false">0.5*Combined_Scenarios!Y195</f>
        <v>0.5</v>
      </c>
      <c r="G195" s="5" t="n">
        <f aca="false">Combined_Scenarios!K195*F195</f>
        <v>93.75</v>
      </c>
      <c r="H195" s="5" t="n">
        <f aca="false">Combined_Scenarios!H195+IF(E195=0,0,G195/E195)</f>
        <v>25.496615281427</v>
      </c>
      <c r="I195" s="5" t="n">
        <f aca="false">H195-Combined_Scenarios!H195</f>
        <v>0.49661528142703</v>
      </c>
      <c r="J195" s="5" t="n">
        <f aca="false">E195*I195</f>
        <v>93.75</v>
      </c>
      <c r="K195" s="5" t="n">
        <f aca="false">0.31*Combined_Scenarios!H195+17.8</f>
        <v>25.55</v>
      </c>
      <c r="L195" s="5" t="n">
        <f aca="false">H195-K195</f>
        <v>-0.0533847185729712</v>
      </c>
      <c r="M195" s="5" t="str">
        <f aca="false">IF(AND(H195&gt;=12,H195&lt;=35),"Within safe range","Outside safe range")</f>
        <v>Within safe range</v>
      </c>
      <c r="N195" s="5" t="n">
        <f aca="false">MAX(0,100-ABS(L195)*8)</f>
        <v>99.5729222514162</v>
      </c>
      <c r="O195" s="5" t="n">
        <f aca="false">MAX(-3,MIN(3,L195/3))</f>
        <v>-0.0177949061909904</v>
      </c>
      <c r="P195" s="5" t="n">
        <f aca="false">100-95*EXP(-(0.03353*O195^4+0.2179*O195^2))</f>
        <v>5.00655508637657</v>
      </c>
      <c r="Q195" s="5" t="n">
        <f aca="false">IF(H195&lt;18,E195*(18-H195),0)</f>
        <v>0</v>
      </c>
      <c r="R195" s="5" t="n">
        <f aca="false">IF(H195&gt;26,E195*(H195-26),0)</f>
        <v>0</v>
      </c>
      <c r="S195" s="5" t="n">
        <f aca="false">Q195+R195</f>
        <v>0</v>
      </c>
      <c r="T195" s="5" t="n">
        <f aca="false">MAX(0,100-S195/5)</f>
        <v>100</v>
      </c>
      <c r="U195" s="5" t="n">
        <f aca="false">(N195+T195)/2</f>
        <v>99.7864611257081</v>
      </c>
      <c r="V195" s="5" t="str">
        <f aca="false">IF(U195&gt;=60,"Recommended","Not Recommended")</f>
        <v>Recommended</v>
      </c>
      <c r="W195" s="5" t="str">
        <f aca="false">IF(Q195&gt;0,"Increase insulation thickness or reduce opening area to cut heat loss",IF(R195&gt;0,"Increase shading/ventilation or reduce solar-facing openings to cut heat gain","Design meets estimated comfort band without major changes"))</f>
        <v>Design meets estimated comfort band without major changes</v>
      </c>
      <c r="X195" s="5" t="s">
        <v>555</v>
      </c>
    </row>
    <row r="196" customFormat="false" ht="15" hidden="false" customHeight="false" outlineLevel="0" collapsed="false">
      <c r="A196" s="5" t="str">
        <f aca="false">Combined_Scenarios!A196</f>
        <v>S195</v>
      </c>
      <c r="B196" s="5" t="n">
        <f aca="false">0.5+Combined_Scenarios!AA196*10</f>
        <v>0.81055900621118</v>
      </c>
      <c r="C196" s="5" t="n">
        <f aca="false">0.33*B196*Combined_Scenarios!Z196</f>
        <v>7.38257142857143</v>
      </c>
      <c r="D196" s="5" t="n">
        <f aca="false">Combined_Scenarios!W196*Combined_Scenarios!X196</f>
        <v>181.395348837209</v>
      </c>
      <c r="E196" s="5" t="n">
        <f aca="false">C196+D196</f>
        <v>188.777920265781</v>
      </c>
      <c r="F196" s="5" t="n">
        <f aca="false">0.5*Combined_Scenarios!Y196</f>
        <v>0.5</v>
      </c>
      <c r="G196" s="5" t="n">
        <f aca="false">Combined_Scenarios!K196*F196</f>
        <v>114.583333333333</v>
      </c>
      <c r="H196" s="5" t="n">
        <f aca="false">Combined_Scenarios!H196+IF(E196=0,0,G196/E196)</f>
        <v>33.6069742328553</v>
      </c>
      <c r="I196" s="5" t="n">
        <f aca="false">H196-Combined_Scenarios!H196</f>
        <v>0.606974232855258</v>
      </c>
      <c r="J196" s="5" t="n">
        <f aca="false">E196*I196</f>
        <v>114.583333333333</v>
      </c>
      <c r="K196" s="5" t="n">
        <f aca="false">0.31*Combined_Scenarios!H196+17.8</f>
        <v>28.03</v>
      </c>
      <c r="L196" s="5" t="n">
        <f aca="false">H196-K196</f>
        <v>5.57697423285526</v>
      </c>
      <c r="M196" s="5" t="str">
        <f aca="false">IF(AND(H196&gt;=12,H196&lt;=35),"Within safe range","Outside safe range")</f>
        <v>Within safe range</v>
      </c>
      <c r="N196" s="5" t="n">
        <f aca="false">MAX(0,100-ABS(L196)*8)</f>
        <v>55.3842061371579</v>
      </c>
      <c r="O196" s="5" t="n">
        <f aca="false">MAX(-3,MIN(3,L196/3))</f>
        <v>1.85899141095175</v>
      </c>
      <c r="P196" s="5" t="n">
        <f aca="false">100-95*EXP(-(0.03353*O196^4+0.2179*O196^2))</f>
        <v>70.023846397949</v>
      </c>
      <c r="Q196" s="5" t="n">
        <f aca="false">IF(H196&lt;18,E196*(18-H196),0)</f>
        <v>0</v>
      </c>
      <c r="R196" s="5" t="n">
        <f aca="false">IF(H196&gt;26,E196*(H196-26),0)</f>
        <v>1436.0287751938</v>
      </c>
      <c r="S196" s="5" t="n">
        <f aca="false">Q196+R196</f>
        <v>1436.0287751938</v>
      </c>
      <c r="T196" s="5" t="n">
        <f aca="false">MAX(0,100-S196/5)</f>
        <v>0</v>
      </c>
      <c r="U196" s="5" t="n">
        <f aca="false">(N196+T196)/2</f>
        <v>27.692103068579</v>
      </c>
      <c r="V196" s="5" t="str">
        <f aca="false">IF(U196&gt;=60,"Recommended","Not Recommended")</f>
        <v>Not Recommended</v>
      </c>
      <c r="W196" s="5" t="str">
        <f aca="false">IF(Q196&gt;0,"Increase insulation thickness or reduce opening area to cut heat loss",IF(R196&gt;0,"Increase shading/ventilation or reduce solar-facing openings to cut heat gain","Design meets estimated comfort band without major changes"))</f>
        <v>Increase shading/ventilation or reduce solar-facing openings to cut heat gain</v>
      </c>
      <c r="X196" s="5" t="s">
        <v>555</v>
      </c>
    </row>
    <row r="197" customFormat="false" ht="15" hidden="false" customHeight="false" outlineLevel="0" collapsed="false">
      <c r="A197" s="5" t="str">
        <f aca="false">Combined_Scenarios!A197</f>
        <v>S196</v>
      </c>
      <c r="B197" s="5" t="n">
        <f aca="false">0.5+Combined_Scenarios!AA197*10</f>
        <v>0.81055900621118</v>
      </c>
      <c r="C197" s="5" t="n">
        <f aca="false">0.33*B197*Combined_Scenarios!Z197</f>
        <v>7.38257142857143</v>
      </c>
      <c r="D197" s="5" t="n">
        <f aca="false">Combined_Scenarios!W197*Combined_Scenarios!X197</f>
        <v>181.395348837209</v>
      </c>
      <c r="E197" s="5" t="n">
        <f aca="false">C197+D197</f>
        <v>188.777920265781</v>
      </c>
      <c r="F197" s="5" t="n">
        <f aca="false">0.5*Combined_Scenarios!Y197</f>
        <v>0.5</v>
      </c>
      <c r="G197" s="5" t="n">
        <f aca="false">Combined_Scenarios!K197*F197</f>
        <v>108.333333333333</v>
      </c>
      <c r="H197" s="5" t="n">
        <f aca="false">Combined_Scenarios!H197+IF(E197=0,0,G197/E197)</f>
        <v>30.5738665474268</v>
      </c>
      <c r="I197" s="5" t="n">
        <f aca="false">H197-Combined_Scenarios!H197</f>
        <v>0.573866547426789</v>
      </c>
      <c r="J197" s="5" t="n">
        <f aca="false">E197*I197</f>
        <v>108.333333333333</v>
      </c>
      <c r="K197" s="5" t="n">
        <f aca="false">0.31*Combined_Scenarios!H197+17.8</f>
        <v>27.1</v>
      </c>
      <c r="L197" s="5" t="n">
        <f aca="false">H197-K197</f>
        <v>3.47386654742679</v>
      </c>
      <c r="M197" s="5" t="str">
        <f aca="false">IF(AND(H197&gt;=12,H197&lt;=35),"Within safe range","Outside safe range")</f>
        <v>Within safe range</v>
      </c>
      <c r="N197" s="5" t="n">
        <f aca="false">MAX(0,100-ABS(L197)*8)</f>
        <v>72.2090676205857</v>
      </c>
      <c r="O197" s="5" t="n">
        <f aca="false">MAX(-3,MIN(3,L197/3))</f>
        <v>1.15795551580893</v>
      </c>
      <c r="P197" s="5" t="n">
        <f aca="false">100-95*EXP(-(0.03353*O197^4+0.2179*O197^2))</f>
        <v>33.2189455535429</v>
      </c>
      <c r="Q197" s="5" t="n">
        <f aca="false">IF(H197&lt;18,E197*(18-H197),0)</f>
        <v>0</v>
      </c>
      <c r="R197" s="5" t="n">
        <f aca="false">IF(H197&gt;26,E197*(H197-26),0)</f>
        <v>863.445014396456</v>
      </c>
      <c r="S197" s="5" t="n">
        <f aca="false">Q197+R197</f>
        <v>863.445014396456</v>
      </c>
      <c r="T197" s="5" t="n">
        <f aca="false">MAX(0,100-S197/5)</f>
        <v>0</v>
      </c>
      <c r="U197" s="5" t="n">
        <f aca="false">(N197+T197)/2</f>
        <v>36.1045338102929</v>
      </c>
      <c r="V197" s="5" t="str">
        <f aca="false">IF(U197&gt;=60,"Recommended","Not Recommended")</f>
        <v>Not Recommended</v>
      </c>
      <c r="W197" s="5" t="str">
        <f aca="false">IF(Q197&gt;0,"Increase insulation thickness or reduce opening area to cut heat loss",IF(R197&gt;0,"Increase shading/ventilation or reduce solar-facing openings to cut heat gain","Design meets estimated comfort band without major changes"))</f>
        <v>Increase shading/ventilation or reduce solar-facing openings to cut heat gain</v>
      </c>
      <c r="X197" s="5" t="s">
        <v>555</v>
      </c>
    </row>
    <row r="198" customFormat="false" ht="15" hidden="false" customHeight="false" outlineLevel="0" collapsed="false">
      <c r="A198" s="5" t="str">
        <f aca="false">Combined_Scenarios!A198</f>
        <v>S197</v>
      </c>
      <c r="B198" s="5" t="n">
        <f aca="false">0.5+Combined_Scenarios!AA198*10</f>
        <v>0.878787878787879</v>
      </c>
      <c r="C198" s="5" t="n">
        <f aca="false">0.33*B198*Combined_Scenarios!Z198</f>
        <v>5.742</v>
      </c>
      <c r="D198" s="5" t="n">
        <f aca="false">Combined_Scenarios!W198*Combined_Scenarios!X198</f>
        <v>29.3152090279559</v>
      </c>
      <c r="E198" s="5" t="n">
        <f aca="false">C198+D198</f>
        <v>35.0572090279559</v>
      </c>
      <c r="F198" s="5" t="n">
        <f aca="false">0.5*Combined_Scenarios!Y198</f>
        <v>0.5</v>
      </c>
      <c r="G198" s="5" t="n">
        <f aca="false">Combined_Scenarios!K198*F198</f>
        <v>83.3333333333333</v>
      </c>
      <c r="H198" s="5" t="n">
        <f aca="false">Combined_Scenarios!H198+IF(E198=0,0,G198/E198)</f>
        <v>-5.62293303876871</v>
      </c>
      <c r="I198" s="5" t="n">
        <f aca="false">H198-Combined_Scenarios!H198</f>
        <v>2.37706696123129</v>
      </c>
      <c r="J198" s="5" t="n">
        <f aca="false">E198*I198</f>
        <v>83.3333333333333</v>
      </c>
      <c r="K198" s="5" t="n">
        <f aca="false">0.31*Combined_Scenarios!H198+17.8</f>
        <v>15.32</v>
      </c>
      <c r="L198" s="5" t="n">
        <f aca="false">H198-K198</f>
        <v>-20.9429330387687</v>
      </c>
      <c r="M198" s="5" t="str">
        <f aca="false">IF(AND(H198&gt;=12,H198&lt;=35),"Within safe range","Outside safe range")</f>
        <v>Outside safe range</v>
      </c>
      <c r="N198" s="5" t="n">
        <f aca="false">MAX(0,100-ABS(L198)*8)</f>
        <v>0</v>
      </c>
      <c r="O198" s="5" t="n">
        <f aca="false">MAX(-3,MIN(3,L198/3))</f>
        <v>-3</v>
      </c>
      <c r="P198" s="5" t="n">
        <f aca="false">100-95*EXP(-(0.03353*O198^4+0.2179*O198^2))</f>
        <v>99.1158717152693</v>
      </c>
      <c r="Q198" s="5" t="n">
        <f aca="false">IF(H198&lt;18,E198*(18-H198),0)</f>
        <v>828.15410139352</v>
      </c>
      <c r="R198" s="5" t="n">
        <f aca="false">IF(H198&gt;26,E198*(H198-26),0)</f>
        <v>0</v>
      </c>
      <c r="S198" s="5" t="n">
        <f aca="false">Q198+R198</f>
        <v>828.15410139352</v>
      </c>
      <c r="T198" s="5" t="n">
        <f aca="false">MAX(0,100-S198/5)</f>
        <v>0</v>
      </c>
      <c r="U198" s="5" t="n">
        <f aca="false">(N198+T198)/2</f>
        <v>0</v>
      </c>
      <c r="V198" s="5" t="str">
        <f aca="false">IF(U198&gt;=60,"Recommended","Not Recommended")</f>
        <v>Not Recommended</v>
      </c>
      <c r="W198" s="5" t="str">
        <f aca="false">IF(Q198&gt;0,"Increase insulation thickness or reduce opening area to cut heat loss",IF(R198&gt;0,"Increase shading/ventilation or reduce solar-facing openings to cut heat gain","Design meets estimated comfort band without major changes"))</f>
        <v>Increase insulation thickness or reduce opening area to cut heat loss</v>
      </c>
      <c r="X198" s="5" t="s">
        <v>555</v>
      </c>
    </row>
    <row r="199" customFormat="false" ht="15" hidden="false" customHeight="false" outlineLevel="0" collapsed="false">
      <c r="A199" s="5" t="str">
        <f aca="false">Combined_Scenarios!A199</f>
        <v>S198</v>
      </c>
      <c r="B199" s="5" t="n">
        <f aca="false">0.5+Combined_Scenarios!AA199*10</f>
        <v>0.878787878787879</v>
      </c>
      <c r="C199" s="5" t="n">
        <f aca="false">0.33*B199*Combined_Scenarios!Z199</f>
        <v>5.742</v>
      </c>
      <c r="D199" s="5" t="n">
        <f aca="false">Combined_Scenarios!W199*Combined_Scenarios!X199</f>
        <v>29.3152090279559</v>
      </c>
      <c r="E199" s="5" t="n">
        <f aca="false">C199+D199</f>
        <v>35.0572090279559</v>
      </c>
      <c r="F199" s="5" t="n">
        <f aca="false">0.5*Combined_Scenarios!Y199</f>
        <v>0.5</v>
      </c>
      <c r="G199" s="5" t="n">
        <f aca="false">Combined_Scenarios!K199*F199</f>
        <v>150</v>
      </c>
      <c r="H199" s="5" t="n">
        <f aca="false">Combined_Scenarios!H199+IF(E199=0,0,G199/E199)</f>
        <v>20.2787205302163</v>
      </c>
      <c r="I199" s="5" t="n">
        <f aca="false">H199-Combined_Scenarios!H199</f>
        <v>4.27872053021633</v>
      </c>
      <c r="J199" s="5" t="n">
        <f aca="false">E199*I199</f>
        <v>150</v>
      </c>
      <c r="K199" s="5" t="n">
        <f aca="false">0.31*Combined_Scenarios!H199+17.8</f>
        <v>22.76</v>
      </c>
      <c r="L199" s="5" t="n">
        <f aca="false">H199-K199</f>
        <v>-2.48127946978368</v>
      </c>
      <c r="M199" s="5" t="str">
        <f aca="false">IF(AND(H199&gt;=12,H199&lt;=35),"Within safe range","Outside safe range")</f>
        <v>Within safe range</v>
      </c>
      <c r="N199" s="5" t="n">
        <f aca="false">MAX(0,100-ABS(L199)*8)</f>
        <v>80.1497642417306</v>
      </c>
      <c r="O199" s="5" t="n">
        <f aca="false">MAX(-3,MIN(3,L199/3))</f>
        <v>-0.827093156594559</v>
      </c>
      <c r="P199" s="5" t="n">
        <f aca="false">100-95*EXP(-(0.03353*O199^4+0.2179*O199^2))</f>
        <v>19.4301779456293</v>
      </c>
      <c r="Q199" s="5" t="n">
        <f aca="false">IF(H199&lt;18,E199*(18-H199),0)</f>
        <v>0</v>
      </c>
      <c r="R199" s="5" t="n">
        <f aca="false">IF(H199&gt;26,E199*(H199-26),0)</f>
        <v>0</v>
      </c>
      <c r="S199" s="5" t="n">
        <f aca="false">Q199+R199</f>
        <v>0</v>
      </c>
      <c r="T199" s="5" t="n">
        <f aca="false">MAX(0,100-S199/5)</f>
        <v>100</v>
      </c>
      <c r="U199" s="5" t="n">
        <f aca="false">(N199+T199)/2</f>
        <v>90.0748821208653</v>
      </c>
      <c r="V199" s="5" t="str">
        <f aca="false">IF(U199&gt;=60,"Recommended","Not Recommended")</f>
        <v>Recommended</v>
      </c>
      <c r="W199" s="5" t="str">
        <f aca="false">IF(Q199&gt;0,"Increase insulation thickness or reduce opening area to cut heat loss",IF(R199&gt;0,"Increase shading/ventilation or reduce solar-facing openings to cut heat gain","Design meets estimated comfort band without major changes"))</f>
        <v>Design meets estimated comfort band without major changes</v>
      </c>
      <c r="X199" s="5" t="s">
        <v>555</v>
      </c>
    </row>
    <row r="200" customFormat="false" ht="15" hidden="false" customHeight="false" outlineLevel="0" collapsed="false">
      <c r="A200" s="5" t="str">
        <f aca="false">Combined_Scenarios!A200</f>
        <v>S199</v>
      </c>
      <c r="B200" s="5" t="n">
        <f aca="false">0.5+Combined_Scenarios!AA200*10</f>
        <v>0.878787878787879</v>
      </c>
      <c r="C200" s="5" t="n">
        <f aca="false">0.33*B200*Combined_Scenarios!Z200</f>
        <v>5.742</v>
      </c>
      <c r="D200" s="5" t="n">
        <f aca="false">Combined_Scenarios!W200*Combined_Scenarios!X200</f>
        <v>29.3152090279559</v>
      </c>
      <c r="E200" s="5" t="n">
        <f aca="false">C200+D200</f>
        <v>35.0572090279559</v>
      </c>
      <c r="F200" s="5" t="n">
        <f aca="false">0.5*Combined_Scenarios!Y200</f>
        <v>0.5</v>
      </c>
      <c r="G200" s="5" t="n">
        <f aca="false">Combined_Scenarios!K200*F200</f>
        <v>125</v>
      </c>
      <c r="H200" s="5" t="n">
        <f aca="false">Combined_Scenarios!H200+IF(E200=0,0,G200/E200)</f>
        <v>17.5656004418469</v>
      </c>
      <c r="I200" s="5" t="n">
        <f aca="false">H200-Combined_Scenarios!H200</f>
        <v>3.56560044184694</v>
      </c>
      <c r="J200" s="5" t="n">
        <f aca="false">E200*I200</f>
        <v>125</v>
      </c>
      <c r="K200" s="5" t="n">
        <f aca="false">0.31*Combined_Scenarios!H200+17.8</f>
        <v>22.14</v>
      </c>
      <c r="L200" s="5" t="n">
        <f aca="false">H200-K200</f>
        <v>-4.57439955815306</v>
      </c>
      <c r="M200" s="5" t="str">
        <f aca="false">IF(AND(H200&gt;=12,H200&lt;=35),"Within safe range","Outside safe range")</f>
        <v>Within safe range</v>
      </c>
      <c r="N200" s="5" t="n">
        <f aca="false">MAX(0,100-ABS(L200)*8)</f>
        <v>63.4048035347755</v>
      </c>
      <c r="O200" s="5" t="n">
        <f aca="false">MAX(-3,MIN(3,L200/3))</f>
        <v>-1.52479985271769</v>
      </c>
      <c r="P200" s="5" t="n">
        <f aca="false">100-95*EXP(-(0.03353*O200^4+0.2179*O200^2))</f>
        <v>52.2488413729645</v>
      </c>
      <c r="Q200" s="5" t="n">
        <f aca="false">IF(H200&lt;18,E200*(18-H200),0)</f>
        <v>15.2288361118235</v>
      </c>
      <c r="R200" s="5" t="n">
        <f aca="false">IF(H200&gt;26,E200*(H200-26),0)</f>
        <v>0</v>
      </c>
      <c r="S200" s="5" t="n">
        <f aca="false">Q200+R200</f>
        <v>15.2288361118235</v>
      </c>
      <c r="T200" s="5" t="n">
        <f aca="false">MAX(0,100-S200/5)</f>
        <v>96.9542327776353</v>
      </c>
      <c r="U200" s="5" t="n">
        <f aca="false">(N200+T200)/2</f>
        <v>80.1795181562054</v>
      </c>
      <c r="V200" s="5" t="str">
        <f aca="false">IF(U200&gt;=60,"Recommended","Not Recommended")</f>
        <v>Recommended</v>
      </c>
      <c r="W200" s="5" t="str">
        <f aca="false">IF(Q200&gt;0,"Increase insulation thickness or reduce opening area to cut heat loss",IF(R200&gt;0,"Increase shading/ventilation or reduce solar-facing openings to cut heat gain","Design meets estimated comfort band without major changes"))</f>
        <v>Increase insulation thickness or reduce opening area to cut heat loss</v>
      </c>
      <c r="X200" s="5" t="s">
        <v>555</v>
      </c>
    </row>
    <row r="201" customFormat="false" ht="15" hidden="false" customHeight="false" outlineLevel="0" collapsed="false">
      <c r="A201" s="5" t="str">
        <f aca="false">Combined_Scenarios!A201</f>
        <v>S200</v>
      </c>
      <c r="B201" s="5" t="n">
        <f aca="false">0.5+Combined_Scenarios!AA201*10</f>
        <v>0.878787878787879</v>
      </c>
      <c r="C201" s="5" t="n">
        <f aca="false">0.33*B201*Combined_Scenarios!Z201</f>
        <v>5.742</v>
      </c>
      <c r="D201" s="5" t="n">
        <f aca="false">Combined_Scenarios!W201*Combined_Scenarios!X201</f>
        <v>29.3152090279559</v>
      </c>
      <c r="E201" s="5" t="n">
        <f aca="false">C201+D201</f>
        <v>35.0572090279559</v>
      </c>
      <c r="F201" s="5" t="n">
        <f aca="false">0.5*Combined_Scenarios!Y201</f>
        <v>0.5</v>
      </c>
      <c r="G201" s="5" t="n">
        <f aca="false">Combined_Scenarios!K201*F201</f>
        <v>93.75</v>
      </c>
      <c r="H201" s="5" t="n">
        <f aca="false">Combined_Scenarios!H201+IF(E201=0,0,G201/E201)</f>
        <v>27.6742003313852</v>
      </c>
      <c r="I201" s="5" t="n">
        <f aca="false">H201-Combined_Scenarios!H201</f>
        <v>2.6742003313852</v>
      </c>
      <c r="J201" s="5" t="n">
        <f aca="false">E201*I201</f>
        <v>93.75</v>
      </c>
      <c r="K201" s="5" t="n">
        <f aca="false">0.31*Combined_Scenarios!H201+17.8</f>
        <v>25.55</v>
      </c>
      <c r="L201" s="5" t="n">
        <f aca="false">H201-K201</f>
        <v>2.1242003313852</v>
      </c>
      <c r="M201" s="5" t="str">
        <f aca="false">IF(AND(H201&gt;=12,H201&lt;=35),"Within safe range","Outside safe range")</f>
        <v>Within safe range</v>
      </c>
      <c r="N201" s="5" t="n">
        <f aca="false">MAX(0,100-ABS(L201)*8)</f>
        <v>83.0063973489184</v>
      </c>
      <c r="O201" s="5" t="n">
        <f aca="false">MAX(-3,MIN(3,L201/3))</f>
        <v>0.708066777128401</v>
      </c>
      <c r="P201" s="5" t="n">
        <f aca="false">100-95*EXP(-(0.03353*O201^4+0.2179*O201^2))</f>
        <v>15.5463598309291</v>
      </c>
      <c r="Q201" s="5" t="n">
        <f aca="false">IF(H201&lt;18,E201*(18-H201),0)</f>
        <v>0</v>
      </c>
      <c r="R201" s="5" t="n">
        <f aca="false">IF(H201&gt;26,E201*(H201-26),0)</f>
        <v>58.6927909720441</v>
      </c>
      <c r="S201" s="5" t="n">
        <f aca="false">Q201+R201</f>
        <v>58.6927909720441</v>
      </c>
      <c r="T201" s="5" t="n">
        <f aca="false">MAX(0,100-S201/5)</f>
        <v>88.2614418055912</v>
      </c>
      <c r="U201" s="5" t="n">
        <f aca="false">(N201+T201)/2</f>
        <v>85.6339195772548</v>
      </c>
      <c r="V201" s="5" t="str">
        <f aca="false">IF(U201&gt;=60,"Recommended","Not Recommended")</f>
        <v>Recommended</v>
      </c>
      <c r="W201" s="5" t="str">
        <f aca="false">IF(Q201&gt;0,"Increase insulation thickness or reduce opening area to cut heat loss",IF(R201&gt;0,"Increase shading/ventilation or reduce solar-facing openings to cut heat gain","Design meets estimated comfort band without major changes"))</f>
        <v>Increase shading/ventilation or reduce solar-facing openings to cut heat gain</v>
      </c>
      <c r="X201" s="5" t="s">
        <v>555</v>
      </c>
    </row>
    <row r="202" customFormat="false" ht="15" hidden="false" customHeight="false" outlineLevel="0" collapsed="false">
      <c r="A202" s="5" t="str">
        <f aca="false">Combined_Scenarios!A202</f>
        <v>S201</v>
      </c>
      <c r="B202" s="5" t="n">
        <f aca="false">0.5+Combined_Scenarios!AA202*10</f>
        <v>0.878787878787879</v>
      </c>
      <c r="C202" s="5" t="n">
        <f aca="false">0.33*B202*Combined_Scenarios!Z202</f>
        <v>5.742</v>
      </c>
      <c r="D202" s="5" t="n">
        <f aca="false">Combined_Scenarios!W202*Combined_Scenarios!X202</f>
        <v>29.3152090279559</v>
      </c>
      <c r="E202" s="5" t="n">
        <f aca="false">C202+D202</f>
        <v>35.0572090279559</v>
      </c>
      <c r="F202" s="5" t="n">
        <f aca="false">0.5*Combined_Scenarios!Y202</f>
        <v>0.5</v>
      </c>
      <c r="G202" s="5" t="n">
        <f aca="false">Combined_Scenarios!K202*F202</f>
        <v>114.583333333333</v>
      </c>
      <c r="H202" s="5" t="n">
        <f aca="false">Combined_Scenarios!H202+IF(E202=0,0,G202/E202)</f>
        <v>36.268467071693</v>
      </c>
      <c r="I202" s="5" t="n">
        <f aca="false">H202-Combined_Scenarios!H202</f>
        <v>3.26846707169302</v>
      </c>
      <c r="J202" s="5" t="n">
        <f aca="false">E202*I202</f>
        <v>114.583333333333</v>
      </c>
      <c r="K202" s="5" t="n">
        <f aca="false">0.31*Combined_Scenarios!H202+17.8</f>
        <v>28.03</v>
      </c>
      <c r="L202" s="5" t="n">
        <f aca="false">H202-K202</f>
        <v>8.23846707169302</v>
      </c>
      <c r="M202" s="5" t="str">
        <f aca="false">IF(AND(H202&gt;=12,H202&lt;=35),"Within safe range","Outside safe range")</f>
        <v>Outside safe range</v>
      </c>
      <c r="N202" s="5" t="n">
        <f aca="false">MAX(0,100-ABS(L202)*8)</f>
        <v>34.0922634264558</v>
      </c>
      <c r="O202" s="5" t="n">
        <f aca="false">MAX(-3,MIN(3,L202/3))</f>
        <v>2.74615569056434</v>
      </c>
      <c r="P202" s="5" t="n">
        <f aca="false">100-95*EXP(-(0.03353*O202^4+0.2179*O202^2))</f>
        <v>97.2716837462179</v>
      </c>
      <c r="Q202" s="5" t="n">
        <f aca="false">IF(H202&lt;18,E202*(18-H202),0)</f>
        <v>0</v>
      </c>
      <c r="R202" s="5" t="n">
        <f aca="false">IF(H202&gt;26,E202*(H202-26),0)</f>
        <v>359.983796529024</v>
      </c>
      <c r="S202" s="5" t="n">
        <f aca="false">Q202+R202</f>
        <v>359.983796529024</v>
      </c>
      <c r="T202" s="5" t="n">
        <f aca="false">MAX(0,100-S202/5)</f>
        <v>28.0032406941951</v>
      </c>
      <c r="U202" s="5" t="n">
        <f aca="false">(N202+T202)/2</f>
        <v>31.0477520603255</v>
      </c>
      <c r="V202" s="5" t="str">
        <f aca="false">IF(U202&gt;=60,"Recommended","Not Recommended")</f>
        <v>Not Recommended</v>
      </c>
      <c r="W202" s="5" t="str">
        <f aca="false">IF(Q202&gt;0,"Increase insulation thickness or reduce opening area to cut heat loss",IF(R202&gt;0,"Increase shading/ventilation or reduce solar-facing openings to cut heat gain","Design meets estimated comfort band without major changes"))</f>
        <v>Increase shading/ventilation or reduce solar-facing openings to cut heat gain</v>
      </c>
      <c r="X202" s="5" t="s">
        <v>555</v>
      </c>
    </row>
    <row r="203" customFormat="false" ht="15" hidden="false" customHeight="false" outlineLevel="0" collapsed="false">
      <c r="A203" s="5" t="str">
        <f aca="false">Combined_Scenarios!A203</f>
        <v>S202</v>
      </c>
      <c r="B203" s="5" t="n">
        <f aca="false">0.5+Combined_Scenarios!AA203*10</f>
        <v>0.878787878787879</v>
      </c>
      <c r="C203" s="5" t="n">
        <f aca="false">0.33*B203*Combined_Scenarios!Z203</f>
        <v>5.742</v>
      </c>
      <c r="D203" s="5" t="n">
        <f aca="false">Combined_Scenarios!W203*Combined_Scenarios!X203</f>
        <v>29.3152090279559</v>
      </c>
      <c r="E203" s="5" t="n">
        <f aca="false">C203+D203</f>
        <v>35.0572090279559</v>
      </c>
      <c r="F203" s="5" t="n">
        <f aca="false">0.5*Combined_Scenarios!Y203</f>
        <v>0.5</v>
      </c>
      <c r="G203" s="5" t="n">
        <f aca="false">Combined_Scenarios!K203*F203</f>
        <v>108.333333333333</v>
      </c>
      <c r="H203" s="5" t="n">
        <f aca="false">Combined_Scenarios!H203+IF(E203=0,0,G203/E203)</f>
        <v>33.0901870496007</v>
      </c>
      <c r="I203" s="5" t="n">
        <f aca="false">H203-Combined_Scenarios!H203</f>
        <v>3.09018704960068</v>
      </c>
      <c r="J203" s="5" t="n">
        <f aca="false">E203*I203</f>
        <v>108.333333333333</v>
      </c>
      <c r="K203" s="5" t="n">
        <f aca="false">0.31*Combined_Scenarios!H203+17.8</f>
        <v>27.1</v>
      </c>
      <c r="L203" s="5" t="n">
        <f aca="false">H203-K203</f>
        <v>5.99018704960068</v>
      </c>
      <c r="M203" s="5" t="str">
        <f aca="false">IF(AND(H203&gt;=12,H203&lt;=35),"Within safe range","Outside safe range")</f>
        <v>Within safe range</v>
      </c>
      <c r="N203" s="5" t="n">
        <f aca="false">MAX(0,100-ABS(L203)*8)</f>
        <v>52.0785036031946</v>
      </c>
      <c r="O203" s="5" t="n">
        <f aca="false">MAX(-3,MIN(3,L203/3))</f>
        <v>1.99672901653356</v>
      </c>
      <c r="P203" s="5" t="n">
        <f aca="false">100-95*EXP(-(0.03353*O203^4+0.2179*O203^2))</f>
        <v>76.6137888112118</v>
      </c>
      <c r="Q203" s="5" t="n">
        <f aca="false">IF(H203&lt;18,E203*(18-H203),0)</f>
        <v>0</v>
      </c>
      <c r="R203" s="5" t="n">
        <f aca="false">IF(H203&gt;26,E203*(H203-26),0)</f>
        <v>248.562169445157</v>
      </c>
      <c r="S203" s="5" t="n">
        <f aca="false">Q203+R203</f>
        <v>248.562169445157</v>
      </c>
      <c r="T203" s="5" t="n">
        <f aca="false">MAX(0,100-S203/5)</f>
        <v>50.2875661109686</v>
      </c>
      <c r="U203" s="5" t="n">
        <f aca="false">(N203+T203)/2</f>
        <v>51.1830348570816</v>
      </c>
      <c r="V203" s="5" t="str">
        <f aca="false">IF(U203&gt;=60,"Recommended","Not Recommended")</f>
        <v>Not Recommended</v>
      </c>
      <c r="W203" s="5" t="str">
        <f aca="false">IF(Q203&gt;0,"Increase insulation thickness or reduce opening area to cut heat loss",IF(R203&gt;0,"Increase shading/ventilation or reduce solar-facing openings to cut heat gain","Design meets estimated comfort band without major changes"))</f>
        <v>Increase shading/ventilation or reduce solar-facing openings to cut heat gain</v>
      </c>
      <c r="X203" s="5" t="s">
        <v>555</v>
      </c>
    </row>
    <row r="204" customFormat="false" ht="15" hidden="false" customHeight="false" outlineLevel="0" collapsed="false">
      <c r="A204" s="5" t="str">
        <f aca="false">Combined_Scenarios!A204</f>
        <v>S203</v>
      </c>
      <c r="B204" s="5" t="n">
        <f aca="false">0.5+Combined_Scenarios!AA204*10</f>
        <v>0.81055900621118</v>
      </c>
      <c r="C204" s="5" t="n">
        <f aca="false">0.33*B204*Combined_Scenarios!Z204</f>
        <v>7.38257142857143</v>
      </c>
      <c r="D204" s="5" t="n">
        <f aca="false">Combined_Scenarios!W204*Combined_Scenarios!X204</f>
        <v>36.0092331367017</v>
      </c>
      <c r="E204" s="5" t="n">
        <f aca="false">C204+D204</f>
        <v>43.3918045652731</v>
      </c>
      <c r="F204" s="5" t="n">
        <f aca="false">0.5*Combined_Scenarios!Y204</f>
        <v>0.5</v>
      </c>
      <c r="G204" s="5" t="n">
        <f aca="false">Combined_Scenarios!K204*F204</f>
        <v>83.3333333333333</v>
      </c>
      <c r="H204" s="5" t="n">
        <f aca="false">Combined_Scenarios!H204+IF(E204=0,0,G204/E204)</f>
        <v>-6.07951445743684</v>
      </c>
      <c r="I204" s="5" t="n">
        <f aca="false">H204-Combined_Scenarios!H204</f>
        <v>1.92048554256316</v>
      </c>
      <c r="J204" s="5" t="n">
        <f aca="false">E204*I204</f>
        <v>83.3333333333333</v>
      </c>
      <c r="K204" s="5" t="n">
        <f aca="false">0.31*Combined_Scenarios!H204+17.8</f>
        <v>15.32</v>
      </c>
      <c r="L204" s="5" t="n">
        <f aca="false">H204-K204</f>
        <v>-21.3995144574368</v>
      </c>
      <c r="M204" s="5" t="str">
        <f aca="false">IF(AND(H204&gt;=12,H204&lt;=35),"Within safe range","Outside safe range")</f>
        <v>Outside safe range</v>
      </c>
      <c r="N204" s="5" t="n">
        <f aca="false">MAX(0,100-ABS(L204)*8)</f>
        <v>0</v>
      </c>
      <c r="O204" s="5" t="n">
        <f aca="false">MAX(-3,MIN(3,L204/3))</f>
        <v>-3</v>
      </c>
      <c r="P204" s="5" t="n">
        <f aca="false">100-95*EXP(-(0.03353*O204^4+0.2179*O204^2))</f>
        <v>99.1158717152693</v>
      </c>
      <c r="Q204" s="5" t="n">
        <f aca="false">IF(H204&lt;18,E204*(18-H204),0)</f>
        <v>1044.85358536377</v>
      </c>
      <c r="R204" s="5" t="n">
        <f aca="false">IF(H204&gt;26,E204*(H204-26),0)</f>
        <v>0</v>
      </c>
      <c r="S204" s="5" t="n">
        <f aca="false">Q204+R204</f>
        <v>1044.85358536377</v>
      </c>
      <c r="T204" s="5" t="n">
        <f aca="false">MAX(0,100-S204/5)</f>
        <v>0</v>
      </c>
      <c r="U204" s="5" t="n">
        <f aca="false">(N204+T204)/2</f>
        <v>0</v>
      </c>
      <c r="V204" s="5" t="str">
        <f aca="false">IF(U204&gt;=60,"Recommended","Not Recommended")</f>
        <v>Not Recommended</v>
      </c>
      <c r="W204" s="5" t="str">
        <f aca="false">IF(Q204&gt;0,"Increase insulation thickness or reduce opening area to cut heat loss",IF(R204&gt;0,"Increase shading/ventilation or reduce solar-facing openings to cut heat gain","Design meets estimated comfort band without major changes"))</f>
        <v>Increase insulation thickness or reduce opening area to cut heat loss</v>
      </c>
      <c r="X204" s="5" t="s">
        <v>555</v>
      </c>
    </row>
    <row r="205" customFormat="false" ht="15" hidden="false" customHeight="false" outlineLevel="0" collapsed="false">
      <c r="A205" s="5" t="str">
        <f aca="false">Combined_Scenarios!A205</f>
        <v>S204</v>
      </c>
      <c r="B205" s="5" t="n">
        <f aca="false">0.5+Combined_Scenarios!AA205*10</f>
        <v>0.81055900621118</v>
      </c>
      <c r="C205" s="5" t="n">
        <f aca="false">0.33*B205*Combined_Scenarios!Z205</f>
        <v>7.38257142857143</v>
      </c>
      <c r="D205" s="5" t="n">
        <f aca="false">Combined_Scenarios!W205*Combined_Scenarios!X205</f>
        <v>36.0092331367017</v>
      </c>
      <c r="E205" s="5" t="n">
        <f aca="false">C205+D205</f>
        <v>43.3918045652731</v>
      </c>
      <c r="F205" s="5" t="n">
        <f aca="false">0.5*Combined_Scenarios!Y205</f>
        <v>0.5</v>
      </c>
      <c r="G205" s="5" t="n">
        <f aca="false">Combined_Scenarios!K205*F205</f>
        <v>150</v>
      </c>
      <c r="H205" s="5" t="n">
        <f aca="false">Combined_Scenarios!H205+IF(E205=0,0,G205/E205)</f>
        <v>19.4568739766137</v>
      </c>
      <c r="I205" s="5" t="n">
        <f aca="false">H205-Combined_Scenarios!H205</f>
        <v>3.45687397661369</v>
      </c>
      <c r="J205" s="5" t="n">
        <f aca="false">E205*I205</f>
        <v>150</v>
      </c>
      <c r="K205" s="5" t="n">
        <f aca="false">0.31*Combined_Scenarios!H205+17.8</f>
        <v>22.76</v>
      </c>
      <c r="L205" s="5" t="n">
        <f aca="false">H205-K205</f>
        <v>-3.30312602338631</v>
      </c>
      <c r="M205" s="5" t="str">
        <f aca="false">IF(AND(H205&gt;=12,H205&lt;=35),"Within safe range","Outside safe range")</f>
        <v>Within safe range</v>
      </c>
      <c r="N205" s="5" t="n">
        <f aca="false">MAX(0,100-ABS(L205)*8)</f>
        <v>73.5749918129095</v>
      </c>
      <c r="O205" s="5" t="n">
        <f aca="false">MAX(-3,MIN(3,L205/3))</f>
        <v>-1.10104200779544</v>
      </c>
      <c r="P205" s="5" t="n">
        <f aca="false">100-95*EXP(-(0.03353*O205^4+0.2179*O205^2))</f>
        <v>30.5615612161303</v>
      </c>
      <c r="Q205" s="5" t="n">
        <f aca="false">IF(H205&lt;18,E205*(18-H205),0)</f>
        <v>0</v>
      </c>
      <c r="R205" s="5" t="n">
        <f aca="false">IF(H205&gt;26,E205*(H205-26),0)</f>
        <v>0</v>
      </c>
      <c r="S205" s="5" t="n">
        <f aca="false">Q205+R205</f>
        <v>0</v>
      </c>
      <c r="T205" s="5" t="n">
        <f aca="false">MAX(0,100-S205/5)</f>
        <v>100</v>
      </c>
      <c r="U205" s="5" t="n">
        <f aca="false">(N205+T205)/2</f>
        <v>86.7874959064548</v>
      </c>
      <c r="V205" s="5" t="str">
        <f aca="false">IF(U205&gt;=60,"Recommended","Not Recommended")</f>
        <v>Recommended</v>
      </c>
      <c r="W205" s="5" t="str">
        <f aca="false">IF(Q205&gt;0,"Increase insulation thickness or reduce opening area to cut heat loss",IF(R205&gt;0,"Increase shading/ventilation or reduce solar-facing openings to cut heat gain","Design meets estimated comfort band without major changes"))</f>
        <v>Design meets estimated comfort band without major changes</v>
      </c>
      <c r="X205" s="5" t="s">
        <v>555</v>
      </c>
    </row>
    <row r="206" customFormat="false" ht="15" hidden="false" customHeight="false" outlineLevel="0" collapsed="false">
      <c r="A206" s="5" t="str">
        <f aca="false">Combined_Scenarios!A206</f>
        <v>S205</v>
      </c>
      <c r="B206" s="5" t="n">
        <f aca="false">0.5+Combined_Scenarios!AA206*10</f>
        <v>0.81055900621118</v>
      </c>
      <c r="C206" s="5" t="n">
        <f aca="false">0.33*B206*Combined_Scenarios!Z206</f>
        <v>7.38257142857143</v>
      </c>
      <c r="D206" s="5" t="n">
        <f aca="false">Combined_Scenarios!W206*Combined_Scenarios!X206</f>
        <v>36.0092331367017</v>
      </c>
      <c r="E206" s="5" t="n">
        <f aca="false">C206+D206</f>
        <v>43.3918045652731</v>
      </c>
      <c r="F206" s="5" t="n">
        <f aca="false">0.5*Combined_Scenarios!Y206</f>
        <v>0.5</v>
      </c>
      <c r="G206" s="5" t="n">
        <f aca="false">Combined_Scenarios!K206*F206</f>
        <v>125</v>
      </c>
      <c r="H206" s="5" t="n">
        <f aca="false">Combined_Scenarios!H206+IF(E206=0,0,G206/E206)</f>
        <v>16.8807283138447</v>
      </c>
      <c r="I206" s="5" t="n">
        <f aca="false">H206-Combined_Scenarios!H206</f>
        <v>2.88072831384475</v>
      </c>
      <c r="J206" s="5" t="n">
        <f aca="false">E206*I206</f>
        <v>125</v>
      </c>
      <c r="K206" s="5" t="n">
        <f aca="false">0.31*Combined_Scenarios!H206+17.8</f>
        <v>22.14</v>
      </c>
      <c r="L206" s="5" t="n">
        <f aca="false">H206-K206</f>
        <v>-5.25927168615526</v>
      </c>
      <c r="M206" s="5" t="str">
        <f aca="false">IF(AND(H206&gt;=12,H206&lt;=35),"Within safe range","Outside safe range")</f>
        <v>Within safe range</v>
      </c>
      <c r="N206" s="5" t="n">
        <f aca="false">MAX(0,100-ABS(L206)*8)</f>
        <v>57.925826510758</v>
      </c>
      <c r="O206" s="5" t="n">
        <f aca="false">MAX(-3,MIN(3,L206/3))</f>
        <v>-1.75309056205175</v>
      </c>
      <c r="P206" s="5" t="n">
        <f aca="false">100-95*EXP(-(0.03353*O206^4+0.2179*O206^2))</f>
        <v>64.5721961715477</v>
      </c>
      <c r="Q206" s="5" t="n">
        <f aca="false">IF(H206&lt;18,E206*(18-H206),0)</f>
        <v>48.5672182610926</v>
      </c>
      <c r="R206" s="5" t="n">
        <f aca="false">IF(H206&gt;26,E206*(H206-26),0)</f>
        <v>0</v>
      </c>
      <c r="S206" s="5" t="n">
        <f aca="false">Q206+R206</f>
        <v>48.5672182610926</v>
      </c>
      <c r="T206" s="5" t="n">
        <f aca="false">MAX(0,100-S206/5)</f>
        <v>90.2865563477815</v>
      </c>
      <c r="U206" s="5" t="n">
        <f aca="false">(N206+T206)/2</f>
        <v>74.1061914292697</v>
      </c>
      <c r="V206" s="5" t="str">
        <f aca="false">IF(U206&gt;=60,"Recommended","Not Recommended")</f>
        <v>Recommended</v>
      </c>
      <c r="W206" s="5" t="str">
        <f aca="false">IF(Q206&gt;0,"Increase insulation thickness or reduce opening area to cut heat loss",IF(R206&gt;0,"Increase shading/ventilation or reduce solar-facing openings to cut heat gain","Design meets estimated comfort band without major changes"))</f>
        <v>Increase insulation thickness or reduce opening area to cut heat loss</v>
      </c>
      <c r="X206" s="5" t="s">
        <v>555</v>
      </c>
    </row>
    <row r="207" customFormat="false" ht="15" hidden="false" customHeight="false" outlineLevel="0" collapsed="false">
      <c r="A207" s="5" t="str">
        <f aca="false">Combined_Scenarios!A207</f>
        <v>S206</v>
      </c>
      <c r="B207" s="5" t="n">
        <f aca="false">0.5+Combined_Scenarios!AA207*10</f>
        <v>0.81055900621118</v>
      </c>
      <c r="C207" s="5" t="n">
        <f aca="false">0.33*B207*Combined_Scenarios!Z207</f>
        <v>7.38257142857143</v>
      </c>
      <c r="D207" s="5" t="n">
        <f aca="false">Combined_Scenarios!W207*Combined_Scenarios!X207</f>
        <v>36.0092331367017</v>
      </c>
      <c r="E207" s="5" t="n">
        <f aca="false">C207+D207</f>
        <v>43.3918045652731</v>
      </c>
      <c r="F207" s="5" t="n">
        <f aca="false">0.5*Combined_Scenarios!Y207</f>
        <v>0.5</v>
      </c>
      <c r="G207" s="5" t="n">
        <f aca="false">Combined_Scenarios!K207*F207</f>
        <v>93.75</v>
      </c>
      <c r="H207" s="5" t="n">
        <f aca="false">Combined_Scenarios!H207+IF(E207=0,0,G207/E207)</f>
        <v>27.1605462353836</v>
      </c>
      <c r="I207" s="5" t="n">
        <f aca="false">H207-Combined_Scenarios!H207</f>
        <v>2.16054623538356</v>
      </c>
      <c r="J207" s="5" t="n">
        <f aca="false">E207*I207</f>
        <v>93.75</v>
      </c>
      <c r="K207" s="5" t="n">
        <f aca="false">0.31*Combined_Scenarios!H207+17.8</f>
        <v>25.55</v>
      </c>
      <c r="L207" s="5" t="n">
        <f aca="false">H207-K207</f>
        <v>1.61054623538356</v>
      </c>
      <c r="M207" s="5" t="str">
        <f aca="false">IF(AND(H207&gt;=12,H207&lt;=35),"Within safe range","Outside safe range")</f>
        <v>Within safe range</v>
      </c>
      <c r="N207" s="5" t="n">
        <f aca="false">MAX(0,100-ABS(L207)*8)</f>
        <v>87.1156301169315</v>
      </c>
      <c r="O207" s="5" t="n">
        <f aca="false">MAX(-3,MIN(3,L207/3))</f>
        <v>0.536848745127853</v>
      </c>
      <c r="P207" s="5" t="n">
        <f aca="false">100-95*EXP(-(0.03353*O207^4+0.2179*O207^2))</f>
        <v>11.0306813985816</v>
      </c>
      <c r="Q207" s="5" t="n">
        <f aca="false">IF(H207&lt;18,E207*(18-H207),0)</f>
        <v>0</v>
      </c>
      <c r="R207" s="5" t="n">
        <f aca="false">IF(H207&gt;26,E207*(H207-26),0)</f>
        <v>50.3581954347269</v>
      </c>
      <c r="S207" s="5" t="n">
        <f aca="false">Q207+R207</f>
        <v>50.3581954347269</v>
      </c>
      <c r="T207" s="5" t="n">
        <f aca="false">MAX(0,100-S207/5)</f>
        <v>89.9283609130546</v>
      </c>
      <c r="U207" s="5" t="n">
        <f aca="false">(N207+T207)/2</f>
        <v>88.5219955149931</v>
      </c>
      <c r="V207" s="5" t="str">
        <f aca="false">IF(U207&gt;=60,"Recommended","Not Recommended")</f>
        <v>Recommended</v>
      </c>
      <c r="W207" s="5" t="str">
        <f aca="false">IF(Q207&gt;0,"Increase insulation thickness or reduce opening area to cut heat loss",IF(R207&gt;0,"Increase shading/ventilation or reduce solar-facing openings to cut heat gain","Design meets estimated comfort band without major changes"))</f>
        <v>Increase shading/ventilation or reduce solar-facing openings to cut heat gain</v>
      </c>
      <c r="X207" s="5" t="s">
        <v>555</v>
      </c>
    </row>
    <row r="208" customFormat="false" ht="15" hidden="false" customHeight="false" outlineLevel="0" collapsed="false">
      <c r="A208" s="5" t="str">
        <f aca="false">Combined_Scenarios!A208</f>
        <v>S207</v>
      </c>
      <c r="B208" s="5" t="n">
        <f aca="false">0.5+Combined_Scenarios!AA208*10</f>
        <v>0.81055900621118</v>
      </c>
      <c r="C208" s="5" t="n">
        <f aca="false">0.33*B208*Combined_Scenarios!Z208</f>
        <v>7.38257142857143</v>
      </c>
      <c r="D208" s="5" t="n">
        <f aca="false">Combined_Scenarios!W208*Combined_Scenarios!X208</f>
        <v>36.0092331367017</v>
      </c>
      <c r="E208" s="5" t="n">
        <f aca="false">C208+D208</f>
        <v>43.3918045652731</v>
      </c>
      <c r="F208" s="5" t="n">
        <f aca="false">0.5*Combined_Scenarios!Y208</f>
        <v>0.5</v>
      </c>
      <c r="G208" s="5" t="n">
        <f aca="false">Combined_Scenarios!K208*F208</f>
        <v>114.583333333333</v>
      </c>
      <c r="H208" s="5" t="n">
        <f aca="false">Combined_Scenarios!H208+IF(E208=0,0,G208/E208)</f>
        <v>35.6406676210244</v>
      </c>
      <c r="I208" s="5" t="n">
        <f aca="false">H208-Combined_Scenarios!H208</f>
        <v>2.64066762102435</v>
      </c>
      <c r="J208" s="5" t="n">
        <f aca="false">E208*I208</f>
        <v>114.583333333333</v>
      </c>
      <c r="K208" s="5" t="n">
        <f aca="false">0.31*Combined_Scenarios!H208+17.8</f>
        <v>28.03</v>
      </c>
      <c r="L208" s="5" t="n">
        <f aca="false">H208-K208</f>
        <v>7.61066762102435</v>
      </c>
      <c r="M208" s="5" t="str">
        <f aca="false">IF(AND(H208&gt;=12,H208&lt;=35),"Within safe range","Outside safe range")</f>
        <v>Outside safe range</v>
      </c>
      <c r="N208" s="5" t="n">
        <f aca="false">MAX(0,100-ABS(L208)*8)</f>
        <v>39.1146590318052</v>
      </c>
      <c r="O208" s="5" t="n">
        <f aca="false">MAX(-3,MIN(3,L208/3))</f>
        <v>2.53688920700812</v>
      </c>
      <c r="P208" s="5" t="n">
        <f aca="false">100-95*EXP(-(0.03353*O208^4+0.2179*O208^2))</f>
        <v>94.1717600295299</v>
      </c>
      <c r="Q208" s="5" t="n">
        <f aca="false">IF(H208&lt;18,E208*(18-H208),0)</f>
        <v>0</v>
      </c>
      <c r="R208" s="5" t="n">
        <f aca="false">IF(H208&gt;26,E208*(H208-26),0)</f>
        <v>418.325965290245</v>
      </c>
      <c r="S208" s="5" t="n">
        <f aca="false">Q208+R208</f>
        <v>418.325965290245</v>
      </c>
      <c r="T208" s="5" t="n">
        <f aca="false">MAX(0,100-S208/5)</f>
        <v>16.3348069419509</v>
      </c>
      <c r="U208" s="5" t="n">
        <f aca="false">(N208+T208)/2</f>
        <v>27.7247329868781</v>
      </c>
      <c r="V208" s="5" t="str">
        <f aca="false">IF(U208&gt;=60,"Recommended","Not Recommended")</f>
        <v>Not Recommended</v>
      </c>
      <c r="W208" s="5" t="str">
        <f aca="false">IF(Q208&gt;0,"Increase insulation thickness or reduce opening area to cut heat loss",IF(R208&gt;0,"Increase shading/ventilation or reduce solar-facing openings to cut heat gain","Design meets estimated comfort band without major changes"))</f>
        <v>Increase shading/ventilation or reduce solar-facing openings to cut heat gain</v>
      </c>
      <c r="X208" s="5" t="s">
        <v>555</v>
      </c>
    </row>
    <row r="209" customFormat="false" ht="15" hidden="false" customHeight="false" outlineLevel="0" collapsed="false">
      <c r="A209" s="5" t="str">
        <f aca="false">Combined_Scenarios!A209</f>
        <v>S208</v>
      </c>
      <c r="B209" s="5" t="n">
        <f aca="false">0.5+Combined_Scenarios!AA209*10</f>
        <v>0.81055900621118</v>
      </c>
      <c r="C209" s="5" t="n">
        <f aca="false">0.33*B209*Combined_Scenarios!Z209</f>
        <v>7.38257142857143</v>
      </c>
      <c r="D209" s="5" t="n">
        <f aca="false">Combined_Scenarios!W209*Combined_Scenarios!X209</f>
        <v>36.0092331367017</v>
      </c>
      <c r="E209" s="5" t="n">
        <f aca="false">C209+D209</f>
        <v>43.3918045652731</v>
      </c>
      <c r="F209" s="5" t="n">
        <f aca="false">0.5*Combined_Scenarios!Y209</f>
        <v>0.5</v>
      </c>
      <c r="G209" s="5" t="n">
        <f aca="false">Combined_Scenarios!K209*F209</f>
        <v>108.333333333333</v>
      </c>
      <c r="H209" s="5" t="n">
        <f aca="false">Combined_Scenarios!H209+IF(E209=0,0,G209/E209)</f>
        <v>32.4966312053321</v>
      </c>
      <c r="I209" s="5" t="n">
        <f aca="false">H209-Combined_Scenarios!H209</f>
        <v>2.49663120533211</v>
      </c>
      <c r="J209" s="5" t="n">
        <f aca="false">E209*I209</f>
        <v>108.333333333333</v>
      </c>
      <c r="K209" s="5" t="n">
        <f aca="false">0.31*Combined_Scenarios!H209+17.8</f>
        <v>27.1</v>
      </c>
      <c r="L209" s="5" t="n">
        <f aca="false">H209-K209</f>
        <v>5.39663120533211</v>
      </c>
      <c r="M209" s="5" t="str">
        <f aca="false">IF(AND(H209&gt;=12,H209&lt;=35),"Within safe range","Outside safe range")</f>
        <v>Within safe range</v>
      </c>
      <c r="N209" s="5" t="n">
        <f aca="false">MAX(0,100-ABS(L209)*8)</f>
        <v>56.8269503573431</v>
      </c>
      <c r="O209" s="5" t="n">
        <f aca="false">MAX(-3,MIN(3,L209/3))</f>
        <v>1.79887706844404</v>
      </c>
      <c r="P209" s="5" t="n">
        <f aca="false">100-95*EXP(-(0.03353*O209^4+0.2179*O209^2))</f>
        <v>66.9621298738437</v>
      </c>
      <c r="Q209" s="5" t="n">
        <f aca="false">IF(H209&lt;18,E209*(18-H209),0)</f>
        <v>0</v>
      </c>
      <c r="R209" s="5" t="n">
        <f aca="false">IF(H209&gt;26,E209*(H209-26),0)</f>
        <v>281.900551594426</v>
      </c>
      <c r="S209" s="5" t="n">
        <f aca="false">Q209+R209</f>
        <v>281.900551594426</v>
      </c>
      <c r="T209" s="5" t="n">
        <f aca="false">MAX(0,100-S209/5)</f>
        <v>43.6198896811148</v>
      </c>
      <c r="U209" s="5" t="n">
        <f aca="false">(N209+T209)/2</f>
        <v>50.2234200192289</v>
      </c>
      <c r="V209" s="5" t="str">
        <f aca="false">IF(U209&gt;=60,"Recommended","Not Recommended")</f>
        <v>Not Recommended</v>
      </c>
      <c r="W209" s="5" t="str">
        <f aca="false">IF(Q209&gt;0,"Increase insulation thickness or reduce opening area to cut heat loss",IF(R209&gt;0,"Increase shading/ventilation or reduce solar-facing openings to cut heat gain","Design meets estimated comfort band without major changes"))</f>
        <v>Increase shading/ventilation or reduce solar-facing openings to cut heat gain</v>
      </c>
      <c r="X209" s="5" t="s">
        <v>555</v>
      </c>
    </row>
    <row r="210" customFormat="false" ht="15" hidden="false" customHeight="false" outlineLevel="0" collapsed="false">
      <c r="A210" s="5" t="str">
        <f aca="false">Combined_Scenarios!A210</f>
        <v>S209</v>
      </c>
      <c r="B210" s="5" t="n">
        <f aca="false">0.5+Combined_Scenarios!AA210*10</f>
        <v>0.916666666666667</v>
      </c>
      <c r="C210" s="5" t="n">
        <f aca="false">0.33*B210*Combined_Scenarios!Z210</f>
        <v>6.534</v>
      </c>
      <c r="D210" s="5" t="n">
        <f aca="false">Combined_Scenarios!W210*Combined_Scenarios!X210</f>
        <v>5.26573998364677</v>
      </c>
      <c r="E210" s="5" t="n">
        <f aca="false">C210+D210</f>
        <v>11.7997399836468</v>
      </c>
      <c r="F210" s="5" t="n">
        <f aca="false">0.5*Combined_Scenarios!Y210</f>
        <v>0.6</v>
      </c>
      <c r="G210" s="5" t="n">
        <f aca="false">Combined_Scenarios!K210*F210</f>
        <v>137.5</v>
      </c>
      <c r="H210" s="5" t="n">
        <f aca="false">Combined_Scenarios!H210+IF(E210=0,0,G210/E210)</f>
        <v>44.6527991456219</v>
      </c>
      <c r="I210" s="5" t="n">
        <f aca="false">H210-Combined_Scenarios!H210</f>
        <v>11.6527991456219</v>
      </c>
      <c r="J210" s="5" t="n">
        <f aca="false">E210*I210</f>
        <v>137.5</v>
      </c>
      <c r="K210" s="5" t="n">
        <f aca="false">0.31*Combined_Scenarios!H210+17.8</f>
        <v>28.03</v>
      </c>
      <c r="L210" s="5" t="n">
        <f aca="false">H210-K210</f>
        <v>16.6227991456219</v>
      </c>
      <c r="M210" s="5" t="str">
        <f aca="false">IF(AND(H210&gt;=12,H210&lt;=35),"Within safe range","Outside safe range")</f>
        <v>Outside safe range</v>
      </c>
      <c r="N210" s="5" t="n">
        <f aca="false">MAX(0,100-ABS(L210)*8)</f>
        <v>0</v>
      </c>
      <c r="O210" s="5" t="n">
        <f aca="false">MAX(-3,MIN(3,L210/3))</f>
        <v>3</v>
      </c>
      <c r="P210" s="5" t="n">
        <f aca="false">100-95*EXP(-(0.03353*O210^4+0.2179*O210^2))</f>
        <v>99.1158717152693</v>
      </c>
      <c r="Q210" s="5" t="n">
        <f aca="false">IF(H210&lt;18,E210*(18-H210),0)</f>
        <v>0</v>
      </c>
      <c r="R210" s="5" t="n">
        <f aca="false">IF(H210&gt;26,E210*(H210-26),0)</f>
        <v>220.098179885527</v>
      </c>
      <c r="S210" s="5" t="n">
        <f aca="false">Q210+R210</f>
        <v>220.098179885527</v>
      </c>
      <c r="T210" s="5" t="n">
        <f aca="false">MAX(0,100-S210/5)</f>
        <v>55.9803640228945</v>
      </c>
      <c r="U210" s="5" t="n">
        <f aca="false">(N210+T210)/2</f>
        <v>27.9901820114473</v>
      </c>
      <c r="V210" s="5" t="str">
        <f aca="false">IF(U210&gt;=60,"Recommended","Not Recommended")</f>
        <v>Not Recommended</v>
      </c>
      <c r="W210" s="5" t="str">
        <f aca="false">IF(Q210&gt;0,"Increase insulation thickness or reduce opening area to cut heat loss",IF(R210&gt;0,"Increase shading/ventilation or reduce solar-facing openings to cut heat gain","Design meets estimated comfort band without major changes"))</f>
        <v>Increase shading/ventilation or reduce solar-facing openings to cut heat gain</v>
      </c>
      <c r="X210" s="5" t="s">
        <v>555</v>
      </c>
    </row>
    <row r="211" customFormat="false" ht="15" hidden="false" customHeight="false" outlineLevel="0" collapsed="false">
      <c r="A211" s="5" t="str">
        <f aca="false">Combined_Scenarios!A211</f>
        <v>S210</v>
      </c>
      <c r="B211" s="5" t="n">
        <f aca="false">0.5+Combined_Scenarios!AA211*10</f>
        <v>0.916666666666667</v>
      </c>
      <c r="C211" s="5" t="n">
        <f aca="false">0.33*B211*Combined_Scenarios!Z211</f>
        <v>6.534</v>
      </c>
      <c r="D211" s="5" t="n">
        <f aca="false">Combined_Scenarios!W211*Combined_Scenarios!X211</f>
        <v>5.52947910704064</v>
      </c>
      <c r="E211" s="5" t="n">
        <f aca="false">C211+D211</f>
        <v>12.0634791070406</v>
      </c>
      <c r="F211" s="5" t="n">
        <f aca="false">0.5*Combined_Scenarios!Y211</f>
        <v>0.6</v>
      </c>
      <c r="G211" s="5" t="n">
        <f aca="false">Combined_Scenarios!K211*F211</f>
        <v>137.5</v>
      </c>
      <c r="H211" s="5" t="n">
        <f aca="false">Combined_Scenarios!H211+IF(E211=0,0,G211/E211)</f>
        <v>44.3980385575294</v>
      </c>
      <c r="I211" s="5" t="n">
        <f aca="false">H211-Combined_Scenarios!H211</f>
        <v>11.3980385575294</v>
      </c>
      <c r="J211" s="5" t="n">
        <f aca="false">E211*I211</f>
        <v>137.5</v>
      </c>
      <c r="K211" s="5" t="n">
        <f aca="false">0.31*Combined_Scenarios!H211+17.8</f>
        <v>28.03</v>
      </c>
      <c r="L211" s="5" t="n">
        <f aca="false">H211-K211</f>
        <v>16.3680385575294</v>
      </c>
      <c r="M211" s="5" t="str">
        <f aca="false">IF(AND(H211&gt;=12,H211&lt;=35),"Within safe range","Outside safe range")</f>
        <v>Outside safe range</v>
      </c>
      <c r="N211" s="5" t="n">
        <f aca="false">MAX(0,100-ABS(L211)*8)</f>
        <v>0</v>
      </c>
      <c r="O211" s="5" t="n">
        <f aca="false">MAX(-3,MIN(3,L211/3))</f>
        <v>3</v>
      </c>
      <c r="P211" s="5" t="n">
        <f aca="false">100-95*EXP(-(0.03353*O211^4+0.2179*O211^2))</f>
        <v>99.1158717152693</v>
      </c>
      <c r="Q211" s="5" t="n">
        <f aca="false">IF(H211&lt;18,E211*(18-H211),0)</f>
        <v>0</v>
      </c>
      <c r="R211" s="5" t="n">
        <f aca="false">IF(H211&gt;26,E211*(H211-26),0)</f>
        <v>221.944353749284</v>
      </c>
      <c r="S211" s="5" t="n">
        <f aca="false">Q211+R211</f>
        <v>221.944353749284</v>
      </c>
      <c r="T211" s="5" t="n">
        <f aca="false">MAX(0,100-S211/5)</f>
        <v>55.6111292501431</v>
      </c>
      <c r="U211" s="5" t="n">
        <f aca="false">(N211+T211)/2</f>
        <v>27.8055646250716</v>
      </c>
      <c r="V211" s="5" t="str">
        <f aca="false">IF(U211&gt;=60,"Recommended","Not Recommended")</f>
        <v>Not Recommended</v>
      </c>
      <c r="W211" s="5" t="str">
        <f aca="false">IF(Q211&gt;0,"Increase insulation thickness or reduce opening area to cut heat loss",IF(R211&gt;0,"Increase shading/ventilation or reduce solar-facing openings to cut heat gain","Design meets estimated comfort band without major changes"))</f>
        <v>Increase shading/ventilation or reduce solar-facing openings to cut heat gain</v>
      </c>
      <c r="X211" s="5" t="s">
        <v>555</v>
      </c>
    </row>
    <row r="212" customFormat="false" ht="15" hidden="false" customHeight="false" outlineLevel="0" collapsed="false">
      <c r="A212" s="5" t="str">
        <f aca="false">Combined_Scenarios!A212</f>
        <v>S211</v>
      </c>
      <c r="B212" s="5" t="n">
        <f aca="false">0.5+Combined_Scenarios!AA212*10</f>
        <v>0.916666666666667</v>
      </c>
      <c r="C212" s="5" t="n">
        <f aca="false">0.33*B212*Combined_Scenarios!Z212</f>
        <v>6.534</v>
      </c>
      <c r="D212" s="5" t="n">
        <f aca="false">Combined_Scenarios!W212*Combined_Scenarios!X212</f>
        <v>6.24434389140271</v>
      </c>
      <c r="E212" s="5" t="n">
        <f aca="false">C212+D212</f>
        <v>12.7783438914027</v>
      </c>
      <c r="F212" s="5" t="n">
        <f aca="false">0.5*Combined_Scenarios!Y212</f>
        <v>0.6</v>
      </c>
      <c r="G212" s="5" t="n">
        <f aca="false">Combined_Scenarios!K212*F212</f>
        <v>137.5</v>
      </c>
      <c r="H212" s="5" t="n">
        <f aca="false">Combined_Scenarios!H212+IF(E212=0,0,G212/E212)</f>
        <v>43.7603928309137</v>
      </c>
      <c r="I212" s="5" t="n">
        <f aca="false">H212-Combined_Scenarios!H212</f>
        <v>10.7603928309137</v>
      </c>
      <c r="J212" s="5" t="n">
        <f aca="false">E212*I212</f>
        <v>137.5</v>
      </c>
      <c r="K212" s="5" t="n">
        <f aca="false">0.31*Combined_Scenarios!H212+17.8</f>
        <v>28.03</v>
      </c>
      <c r="L212" s="5" t="n">
        <f aca="false">H212-K212</f>
        <v>15.7303928309137</v>
      </c>
      <c r="M212" s="5" t="str">
        <f aca="false">IF(AND(H212&gt;=12,H212&lt;=35),"Within safe range","Outside safe range")</f>
        <v>Outside safe range</v>
      </c>
      <c r="N212" s="5" t="n">
        <f aca="false">MAX(0,100-ABS(L212)*8)</f>
        <v>0</v>
      </c>
      <c r="O212" s="5" t="n">
        <f aca="false">MAX(-3,MIN(3,L212/3))</f>
        <v>3</v>
      </c>
      <c r="P212" s="5" t="n">
        <f aca="false">100-95*EXP(-(0.03353*O212^4+0.2179*O212^2))</f>
        <v>99.1158717152693</v>
      </c>
      <c r="Q212" s="5" t="n">
        <f aca="false">IF(H212&lt;18,E212*(18-H212),0)</f>
        <v>0</v>
      </c>
      <c r="R212" s="5" t="n">
        <f aca="false">IF(H212&gt;26,E212*(H212-26),0)</f>
        <v>226.948407239819</v>
      </c>
      <c r="S212" s="5" t="n">
        <f aca="false">Q212+R212</f>
        <v>226.948407239819</v>
      </c>
      <c r="T212" s="5" t="n">
        <f aca="false">MAX(0,100-S212/5)</f>
        <v>54.6103185520362</v>
      </c>
      <c r="U212" s="5" t="n">
        <f aca="false">(N212+T212)/2</f>
        <v>27.3051592760181</v>
      </c>
      <c r="V212" s="5" t="str">
        <f aca="false">IF(U212&gt;=60,"Recommended","Not Recommended")</f>
        <v>Not Recommended</v>
      </c>
      <c r="W212" s="5" t="str">
        <f aca="false">IF(Q212&gt;0,"Increase insulation thickness or reduce opening area to cut heat loss",IF(R212&gt;0,"Increase shading/ventilation or reduce solar-facing openings to cut heat gain","Design meets estimated comfort band without major changes"))</f>
        <v>Increase shading/ventilation or reduce solar-facing openings to cut heat gain</v>
      </c>
      <c r="X212" s="5" t="s">
        <v>555</v>
      </c>
    </row>
    <row r="213" customFormat="false" ht="15" hidden="false" customHeight="false" outlineLevel="0" collapsed="false">
      <c r="A213" s="5" t="str">
        <f aca="false">Combined_Scenarios!A213</f>
        <v>S212</v>
      </c>
      <c r="B213" s="5" t="n">
        <f aca="false">0.5+Combined_Scenarios!AA213*10</f>
        <v>0.916666666666667</v>
      </c>
      <c r="C213" s="5" t="n">
        <f aca="false">0.33*B213*Combined_Scenarios!Z213</f>
        <v>6.534</v>
      </c>
      <c r="D213" s="5" t="n">
        <f aca="false">Combined_Scenarios!W213*Combined_Scenarios!X213</f>
        <v>6.61870503597122</v>
      </c>
      <c r="E213" s="5" t="n">
        <f aca="false">C213+D213</f>
        <v>13.1527050359712</v>
      </c>
      <c r="F213" s="5" t="n">
        <f aca="false">0.5*Combined_Scenarios!Y213</f>
        <v>0.6</v>
      </c>
      <c r="G213" s="5" t="n">
        <f aca="false">Combined_Scenarios!K213*F213</f>
        <v>137.5</v>
      </c>
      <c r="H213" s="5" t="n">
        <f aca="false">Combined_Scenarios!H213+IF(E213=0,0,G213/E213)</f>
        <v>43.4541232867271</v>
      </c>
      <c r="I213" s="5" t="n">
        <f aca="false">H213-Combined_Scenarios!H213</f>
        <v>10.4541232867271</v>
      </c>
      <c r="J213" s="5" t="n">
        <f aca="false">E213*I213</f>
        <v>137.5</v>
      </c>
      <c r="K213" s="5" t="n">
        <f aca="false">0.31*Combined_Scenarios!H213+17.8</f>
        <v>28.03</v>
      </c>
      <c r="L213" s="5" t="n">
        <f aca="false">H213-K213</f>
        <v>15.4241232867271</v>
      </c>
      <c r="M213" s="5" t="str">
        <f aca="false">IF(AND(H213&gt;=12,H213&lt;=35),"Within safe range","Outside safe range")</f>
        <v>Outside safe range</v>
      </c>
      <c r="N213" s="5" t="n">
        <f aca="false">MAX(0,100-ABS(L213)*8)</f>
        <v>0</v>
      </c>
      <c r="O213" s="5" t="n">
        <f aca="false">MAX(-3,MIN(3,L213/3))</f>
        <v>3</v>
      </c>
      <c r="P213" s="5" t="n">
        <f aca="false">100-95*EXP(-(0.03353*O213^4+0.2179*O213^2))</f>
        <v>99.1158717152693</v>
      </c>
      <c r="Q213" s="5" t="n">
        <f aca="false">IF(H213&lt;18,E213*(18-H213),0)</f>
        <v>0</v>
      </c>
      <c r="R213" s="5" t="n">
        <f aca="false">IF(H213&gt;26,E213*(H213-26),0)</f>
        <v>229.568935251799</v>
      </c>
      <c r="S213" s="5" t="n">
        <f aca="false">Q213+R213</f>
        <v>229.568935251799</v>
      </c>
      <c r="T213" s="5" t="n">
        <f aca="false">MAX(0,100-S213/5)</f>
        <v>54.0862129496403</v>
      </c>
      <c r="U213" s="5" t="n">
        <f aca="false">(N213+T213)/2</f>
        <v>27.0431064748201</v>
      </c>
      <c r="V213" s="5" t="str">
        <f aca="false">IF(U213&gt;=60,"Recommended","Not Recommended")</f>
        <v>Not Recommended</v>
      </c>
      <c r="W213" s="5" t="str">
        <f aca="false">IF(Q213&gt;0,"Increase insulation thickness or reduce opening area to cut heat loss",IF(R213&gt;0,"Increase shading/ventilation or reduce solar-facing openings to cut heat gain","Design meets estimated comfort band without major changes"))</f>
        <v>Increase shading/ventilation or reduce solar-facing openings to cut heat gain</v>
      </c>
      <c r="X213" s="5" t="s">
        <v>555</v>
      </c>
    </row>
    <row r="214" customFormat="false" ht="15" hidden="false" customHeight="false" outlineLevel="0" collapsed="false">
      <c r="A214" s="5" t="str">
        <f aca="false">Combined_Scenarios!A214</f>
        <v>S213</v>
      </c>
      <c r="B214" s="5" t="n">
        <f aca="false">0.5+Combined_Scenarios!AA214*10</f>
        <v>0.79585798816568</v>
      </c>
      <c r="C214" s="5" t="n">
        <f aca="false">0.33*B214*Combined_Scenarios!Z214</f>
        <v>7.16988461538462</v>
      </c>
      <c r="D214" s="5" t="n">
        <f aca="false">Combined_Scenarios!W214*Combined_Scenarios!X214</f>
        <v>65.7879656160458</v>
      </c>
      <c r="E214" s="5" t="n">
        <f aca="false">C214+D214</f>
        <v>72.9578502314305</v>
      </c>
      <c r="F214" s="5" t="n">
        <f aca="false">0.5*Combined_Scenarios!Y214</f>
        <v>0.5</v>
      </c>
      <c r="G214" s="5" t="n">
        <f aca="false">Combined_Scenarios!K214*F214</f>
        <v>83.3333333333333</v>
      </c>
      <c r="H214" s="5" t="n">
        <f aca="false">Combined_Scenarios!H214+IF(E214=0,0,G214/E214)</f>
        <v>-6.85778798211583</v>
      </c>
      <c r="I214" s="5" t="n">
        <f aca="false">H214-Combined_Scenarios!H214</f>
        <v>1.14221201788417</v>
      </c>
      <c r="J214" s="5" t="n">
        <f aca="false">E214*I214</f>
        <v>83.3333333333333</v>
      </c>
      <c r="K214" s="5" t="n">
        <f aca="false">0.31*Combined_Scenarios!H214+17.8</f>
        <v>15.32</v>
      </c>
      <c r="L214" s="5" t="n">
        <f aca="false">H214-K214</f>
        <v>-22.1777879821158</v>
      </c>
      <c r="M214" s="5" t="str">
        <f aca="false">IF(AND(H214&gt;=12,H214&lt;=35),"Within safe range","Outside safe range")</f>
        <v>Outside safe range</v>
      </c>
      <c r="N214" s="5" t="n">
        <f aca="false">MAX(0,100-ABS(L214)*8)</f>
        <v>0</v>
      </c>
      <c r="O214" s="5" t="n">
        <f aca="false">MAX(-3,MIN(3,L214/3))</f>
        <v>-3</v>
      </c>
      <c r="P214" s="5" t="n">
        <f aca="false">100-95*EXP(-(0.03353*O214^4+0.2179*O214^2))</f>
        <v>99.1158717152693</v>
      </c>
      <c r="Q214" s="5" t="n">
        <f aca="false">IF(H214&lt;18,E214*(18-H214),0)</f>
        <v>1813.57077268386</v>
      </c>
      <c r="R214" s="5" t="n">
        <f aca="false">IF(H214&gt;26,E214*(H214-26),0)</f>
        <v>0</v>
      </c>
      <c r="S214" s="5" t="n">
        <f aca="false">Q214+R214</f>
        <v>1813.57077268386</v>
      </c>
      <c r="T214" s="5" t="n">
        <f aca="false">MAX(0,100-S214/5)</f>
        <v>0</v>
      </c>
      <c r="U214" s="5" t="n">
        <f aca="false">(N214+T214)/2</f>
        <v>0</v>
      </c>
      <c r="V214" s="5" t="str">
        <f aca="false">IF(U214&gt;=60,"Recommended","Not Recommended")</f>
        <v>Not Recommended</v>
      </c>
      <c r="W214" s="5" t="str">
        <f aca="false">IF(Q214&gt;0,"Increase insulation thickness or reduce opening area to cut heat loss",IF(R214&gt;0,"Increase shading/ventilation or reduce solar-facing openings to cut heat gain","Design meets estimated comfort band without major changes"))</f>
        <v>Increase insulation thickness or reduce opening area to cut heat loss</v>
      </c>
      <c r="X214" s="5" t="s">
        <v>555</v>
      </c>
    </row>
    <row r="215" customFormat="false" ht="15" hidden="false" customHeight="false" outlineLevel="0" collapsed="false">
      <c r="A215" s="5" t="str">
        <f aca="false">Combined_Scenarios!A215</f>
        <v>S214</v>
      </c>
      <c r="B215" s="5" t="n">
        <f aca="false">0.5+Combined_Scenarios!AA215*10</f>
        <v>0.79585798816568</v>
      </c>
      <c r="C215" s="5" t="n">
        <f aca="false">0.33*B215*Combined_Scenarios!Z215</f>
        <v>7.16988461538462</v>
      </c>
      <c r="D215" s="5" t="n">
        <f aca="false">Combined_Scenarios!W215*Combined_Scenarios!X215</f>
        <v>22.3690247965052</v>
      </c>
      <c r="E215" s="5" t="n">
        <f aca="false">C215+D215</f>
        <v>29.5389094118899</v>
      </c>
      <c r="F215" s="5" t="n">
        <f aca="false">0.5*Combined_Scenarios!Y215</f>
        <v>0.5</v>
      </c>
      <c r="G215" s="5" t="n">
        <f aca="false">Combined_Scenarios!K215*F215</f>
        <v>83.3333333333333</v>
      </c>
      <c r="H215" s="5" t="n">
        <f aca="false">Combined_Scenarios!H215+IF(E215=0,0,G215/E215)</f>
        <v>-5.17886221961227</v>
      </c>
      <c r="I215" s="5" t="n">
        <f aca="false">H215-Combined_Scenarios!H215</f>
        <v>2.82113778038774</v>
      </c>
      <c r="J215" s="5" t="n">
        <f aca="false">E215*I215</f>
        <v>83.3333333333333</v>
      </c>
      <c r="K215" s="5" t="n">
        <f aca="false">0.31*Combined_Scenarios!H215+17.8</f>
        <v>15.32</v>
      </c>
      <c r="L215" s="5" t="n">
        <f aca="false">H215-K215</f>
        <v>-20.4988622196123</v>
      </c>
      <c r="M215" s="5" t="str">
        <f aca="false">IF(AND(H215&gt;=12,H215&lt;=35),"Within safe range","Outside safe range")</f>
        <v>Outside safe range</v>
      </c>
      <c r="N215" s="5" t="n">
        <f aca="false">MAX(0,100-ABS(L215)*8)</f>
        <v>0</v>
      </c>
      <c r="O215" s="5" t="n">
        <f aca="false">MAX(-3,MIN(3,L215/3))</f>
        <v>-3</v>
      </c>
      <c r="P215" s="5" t="n">
        <f aca="false">100-95*EXP(-(0.03353*O215^4+0.2179*O215^2))</f>
        <v>99.1158717152693</v>
      </c>
      <c r="Q215" s="5" t="n">
        <f aca="false">IF(H215&lt;18,E215*(18-H215),0)</f>
        <v>684.678311375803</v>
      </c>
      <c r="R215" s="5" t="n">
        <f aca="false">IF(H215&gt;26,E215*(H215-26),0)</f>
        <v>0</v>
      </c>
      <c r="S215" s="5" t="n">
        <f aca="false">Q215+R215</f>
        <v>684.678311375803</v>
      </c>
      <c r="T215" s="5" t="n">
        <f aca="false">MAX(0,100-S215/5)</f>
        <v>0</v>
      </c>
      <c r="U215" s="5" t="n">
        <f aca="false">(N215+T215)/2</f>
        <v>0</v>
      </c>
      <c r="V215" s="5" t="str">
        <f aca="false">IF(U215&gt;=60,"Recommended","Not Recommended")</f>
        <v>Not Recommended</v>
      </c>
      <c r="W215" s="5" t="str">
        <f aca="false">IF(Q215&gt;0,"Increase insulation thickness or reduce opening area to cut heat loss",IF(R215&gt;0,"Increase shading/ventilation or reduce solar-facing openings to cut heat gain","Design meets estimated comfort band without major changes"))</f>
        <v>Increase insulation thickness or reduce opening area to cut heat loss</v>
      </c>
      <c r="X215" s="5" t="s">
        <v>555</v>
      </c>
    </row>
    <row r="216" customFormat="false" ht="15" hidden="false" customHeight="false" outlineLevel="0" collapsed="false">
      <c r="A216" s="5" t="str">
        <f aca="false">Combined_Scenarios!A216</f>
        <v>S215</v>
      </c>
      <c r="B216" s="5" t="n">
        <f aca="false">0.5+Combined_Scenarios!AA216*10</f>
        <v>0.79585798816568</v>
      </c>
      <c r="C216" s="5" t="n">
        <f aca="false">0.33*B216*Combined_Scenarios!Z216</f>
        <v>7.16988461538462</v>
      </c>
      <c r="D216" s="5" t="n">
        <f aca="false">Combined_Scenarios!W216*Combined_Scenarios!X216</f>
        <v>48.955223880597</v>
      </c>
      <c r="E216" s="5" t="n">
        <f aca="false">C216+D216</f>
        <v>56.1251084959816</v>
      </c>
      <c r="F216" s="5" t="n">
        <f aca="false">0.5*Combined_Scenarios!Y216</f>
        <v>0.5</v>
      </c>
      <c r="G216" s="5" t="n">
        <f aca="false">Combined_Scenarios!K216*F216</f>
        <v>83.3333333333333</v>
      </c>
      <c r="H216" s="5" t="n">
        <f aca="false">Combined_Scenarios!H216+IF(E216=0,0,G216/E216)</f>
        <v>-6.51522187544101</v>
      </c>
      <c r="I216" s="5" t="n">
        <f aca="false">H216-Combined_Scenarios!H216</f>
        <v>1.48477812455899</v>
      </c>
      <c r="J216" s="5" t="n">
        <f aca="false">E216*I216</f>
        <v>83.3333333333333</v>
      </c>
      <c r="K216" s="5" t="n">
        <f aca="false">0.31*Combined_Scenarios!H216+17.8</f>
        <v>15.32</v>
      </c>
      <c r="L216" s="5" t="n">
        <f aca="false">H216-K216</f>
        <v>-21.835221875441</v>
      </c>
      <c r="M216" s="5" t="str">
        <f aca="false">IF(AND(H216&gt;=12,H216&lt;=35),"Within safe range","Outside safe range")</f>
        <v>Outside safe range</v>
      </c>
      <c r="N216" s="5" t="n">
        <f aca="false">MAX(0,100-ABS(L216)*8)</f>
        <v>0</v>
      </c>
      <c r="O216" s="5" t="n">
        <f aca="false">MAX(-3,MIN(3,L216/3))</f>
        <v>-3</v>
      </c>
      <c r="P216" s="5" t="n">
        <f aca="false">100-95*EXP(-(0.03353*O216^4+0.2179*O216^2))</f>
        <v>99.1158717152693</v>
      </c>
      <c r="Q216" s="5" t="n">
        <f aca="false">IF(H216&lt;18,E216*(18-H216),0)</f>
        <v>1375.91948756219</v>
      </c>
      <c r="R216" s="5" t="n">
        <f aca="false">IF(H216&gt;26,E216*(H216-26),0)</f>
        <v>0</v>
      </c>
      <c r="S216" s="5" t="n">
        <f aca="false">Q216+R216</f>
        <v>1375.91948756219</v>
      </c>
      <c r="T216" s="5" t="n">
        <f aca="false">MAX(0,100-S216/5)</f>
        <v>0</v>
      </c>
      <c r="U216" s="5" t="n">
        <f aca="false">(N216+T216)/2</f>
        <v>0</v>
      </c>
      <c r="V216" s="5" t="str">
        <f aca="false">IF(U216&gt;=60,"Recommended","Not Recommended")</f>
        <v>Not Recommended</v>
      </c>
      <c r="W216" s="5" t="str">
        <f aca="false">IF(Q216&gt;0,"Increase insulation thickness or reduce opening area to cut heat loss",IF(R216&gt;0,"Increase shading/ventilation or reduce solar-facing openings to cut heat gain","Design meets estimated comfort band without major changes"))</f>
        <v>Increase insulation thickness or reduce opening area to cut heat loss</v>
      </c>
      <c r="X216" s="5" t="s">
        <v>555</v>
      </c>
    </row>
    <row r="217" customFormat="false" ht="15" hidden="false" customHeight="false" outlineLevel="0" collapsed="false">
      <c r="A217" s="5" t="str">
        <f aca="false">Combined_Scenarios!A217</f>
        <v>S216</v>
      </c>
      <c r="B217" s="5" t="n">
        <f aca="false">0.5+Combined_Scenarios!AA217*10</f>
        <v>0.79585798816568</v>
      </c>
      <c r="C217" s="5" t="n">
        <f aca="false">0.33*B217*Combined_Scenarios!Z217</f>
        <v>7.16988461538462</v>
      </c>
      <c r="D217" s="5" t="n">
        <f aca="false">Combined_Scenarios!W217*Combined_Scenarios!X217</f>
        <v>20.0275753397676</v>
      </c>
      <c r="E217" s="5" t="n">
        <f aca="false">C217+D217</f>
        <v>27.1974599551522</v>
      </c>
      <c r="F217" s="5" t="n">
        <f aca="false">0.5*Combined_Scenarios!Y217</f>
        <v>0.5</v>
      </c>
      <c r="G217" s="5" t="n">
        <f aca="false">Combined_Scenarios!K217*F217</f>
        <v>83.3333333333333</v>
      </c>
      <c r="H217" s="5" t="n">
        <f aca="false">Combined_Scenarios!H217+IF(E217=0,0,G217/E217)</f>
        <v>-4.93598838013743</v>
      </c>
      <c r="I217" s="5" t="n">
        <f aca="false">H217-Combined_Scenarios!H217</f>
        <v>3.06401161986257</v>
      </c>
      <c r="J217" s="5" t="n">
        <f aca="false">E217*I217</f>
        <v>83.3333333333333</v>
      </c>
      <c r="K217" s="5" t="n">
        <f aca="false">0.31*Combined_Scenarios!H217+17.8</f>
        <v>15.32</v>
      </c>
      <c r="L217" s="5" t="n">
        <f aca="false">H217-K217</f>
        <v>-20.2559883801374</v>
      </c>
      <c r="M217" s="5" t="str">
        <f aca="false">IF(AND(H217&gt;=12,H217&lt;=35),"Within safe range","Outside safe range")</f>
        <v>Outside safe range</v>
      </c>
      <c r="N217" s="5" t="n">
        <f aca="false">MAX(0,100-ABS(L217)*8)</f>
        <v>0</v>
      </c>
      <c r="O217" s="5" t="n">
        <f aca="false">MAX(-3,MIN(3,L217/3))</f>
        <v>-3</v>
      </c>
      <c r="P217" s="5" t="n">
        <f aca="false">100-95*EXP(-(0.03353*O217^4+0.2179*O217^2))</f>
        <v>99.1158717152693</v>
      </c>
      <c r="Q217" s="5" t="n">
        <f aca="false">IF(H217&lt;18,E217*(18-H217),0)</f>
        <v>623.800625500624</v>
      </c>
      <c r="R217" s="5" t="n">
        <f aca="false">IF(H217&gt;26,E217*(H217-26),0)</f>
        <v>0</v>
      </c>
      <c r="S217" s="5" t="n">
        <f aca="false">Q217+R217</f>
        <v>623.800625500624</v>
      </c>
      <c r="T217" s="5" t="n">
        <f aca="false">MAX(0,100-S217/5)</f>
        <v>0</v>
      </c>
      <c r="U217" s="5" t="n">
        <f aca="false">(N217+T217)/2</f>
        <v>0</v>
      </c>
      <c r="V217" s="5" t="str">
        <f aca="false">IF(U217&gt;=60,"Recommended","Not Recommended")</f>
        <v>Not Recommended</v>
      </c>
      <c r="W217" s="5" t="str">
        <f aca="false">IF(Q217&gt;0,"Increase insulation thickness or reduce opening area to cut heat loss",IF(R217&gt;0,"Increase shading/ventilation or reduce solar-facing openings to cut heat gain","Design meets estimated comfort band without major changes"))</f>
        <v>Increase insulation thickness or reduce opening area to cut heat loss</v>
      </c>
      <c r="X217" s="5" t="s">
        <v>555</v>
      </c>
    </row>
    <row r="218" customFormat="false" ht="15" hidden="false" customHeight="false" outlineLevel="0" collapsed="false">
      <c r="A218" s="5" t="str">
        <f aca="false">Combined_Scenarios!A218</f>
        <v>S217</v>
      </c>
      <c r="B218" s="5" t="n">
        <f aca="false">0.5+Combined_Scenarios!AA218*10</f>
        <v>0.980769230769231</v>
      </c>
      <c r="C218" s="5" t="n">
        <f aca="false">0.33*B218*Combined_Scenarios!Z218</f>
        <v>9.51542307692308</v>
      </c>
      <c r="D218" s="5" t="n">
        <f aca="false">Combined_Scenarios!W218*Combined_Scenarios!X218</f>
        <v>90.1672862453531</v>
      </c>
      <c r="E218" s="5" t="n">
        <f aca="false">C218+D218</f>
        <v>99.6827093222762</v>
      </c>
      <c r="F218" s="5" t="n">
        <f aca="false">0.5*Combined_Scenarios!Y218</f>
        <v>0.875</v>
      </c>
      <c r="G218" s="5" t="n">
        <f aca="false">Combined_Scenarios!K218*F218</f>
        <v>145.833333333333</v>
      </c>
      <c r="H218" s="5" t="n">
        <f aca="false">Combined_Scenarios!H218+IF(E218=0,0,G218/E218)</f>
        <v>-6.53702478268472</v>
      </c>
      <c r="I218" s="5" t="n">
        <f aca="false">H218-Combined_Scenarios!H218</f>
        <v>1.46297521731528</v>
      </c>
      <c r="J218" s="5" t="n">
        <f aca="false">E218*I218</f>
        <v>145.833333333333</v>
      </c>
      <c r="K218" s="5" t="n">
        <f aca="false">0.31*Combined_Scenarios!H218+17.8</f>
        <v>15.32</v>
      </c>
      <c r="L218" s="5" t="n">
        <f aca="false">H218-K218</f>
        <v>-21.8570247826847</v>
      </c>
      <c r="M218" s="5" t="str">
        <f aca="false">IF(AND(H218&gt;=12,H218&lt;=35),"Within safe range","Outside safe range")</f>
        <v>Outside safe range</v>
      </c>
      <c r="N218" s="5" t="n">
        <f aca="false">MAX(0,100-ABS(L218)*8)</f>
        <v>0</v>
      </c>
      <c r="O218" s="5" t="n">
        <f aca="false">MAX(-3,MIN(3,L218/3))</f>
        <v>-3</v>
      </c>
      <c r="P218" s="5" t="n">
        <f aca="false">100-95*EXP(-(0.03353*O218^4+0.2179*O218^2))</f>
        <v>99.1158717152693</v>
      </c>
      <c r="Q218" s="5" t="n">
        <f aca="false">IF(H218&lt;18,E218*(18-H218),0)</f>
        <v>2445.91710904585</v>
      </c>
      <c r="R218" s="5" t="n">
        <f aca="false">IF(H218&gt;26,E218*(H218-26),0)</f>
        <v>0</v>
      </c>
      <c r="S218" s="5" t="n">
        <f aca="false">Q218+R218</f>
        <v>2445.91710904585</v>
      </c>
      <c r="T218" s="5" t="n">
        <f aca="false">MAX(0,100-S218/5)</f>
        <v>0</v>
      </c>
      <c r="U218" s="5" t="n">
        <f aca="false">(N218+T218)/2</f>
        <v>0</v>
      </c>
      <c r="V218" s="5" t="str">
        <f aca="false">IF(U218&gt;=60,"Recommended","Not Recommended")</f>
        <v>Not Recommended</v>
      </c>
      <c r="W218" s="5" t="str">
        <f aca="false">IF(Q218&gt;0,"Increase insulation thickness or reduce opening area to cut heat loss",IF(R218&gt;0,"Increase shading/ventilation or reduce solar-facing openings to cut heat gain","Design meets estimated comfort band without major changes"))</f>
        <v>Increase insulation thickness or reduce opening area to cut heat loss</v>
      </c>
      <c r="X218" s="5" t="s">
        <v>555</v>
      </c>
    </row>
    <row r="219" customFormat="false" ht="15" hidden="false" customHeight="false" outlineLevel="0" collapsed="false">
      <c r="A219" s="5" t="str">
        <f aca="false">Combined_Scenarios!A219</f>
        <v>S218</v>
      </c>
      <c r="B219" s="5" t="n">
        <f aca="false">0.5+Combined_Scenarios!AA219*10</f>
        <v>1.17307692307692</v>
      </c>
      <c r="C219" s="5" t="n">
        <f aca="false">0.33*B219*Combined_Scenarios!Z219</f>
        <v>11.3811923076923</v>
      </c>
      <c r="D219" s="5" t="n">
        <f aca="false">Combined_Scenarios!W219*Combined_Scenarios!X219</f>
        <v>88.3457249070632</v>
      </c>
      <c r="E219" s="5" t="n">
        <f aca="false">C219+D219</f>
        <v>99.7269172147555</v>
      </c>
      <c r="F219" s="5" t="n">
        <f aca="false">0.5*Combined_Scenarios!Y219</f>
        <v>1.225</v>
      </c>
      <c r="G219" s="5" t="n">
        <f aca="false">Combined_Scenarios!K219*F219</f>
        <v>204.166666666667</v>
      </c>
      <c r="H219" s="5" t="n">
        <f aca="false">Combined_Scenarios!H219+IF(E219=0,0,G219/E219)</f>
        <v>-5.95274262587495</v>
      </c>
      <c r="I219" s="5" t="n">
        <f aca="false">H219-Combined_Scenarios!H219</f>
        <v>2.04725737412505</v>
      </c>
      <c r="J219" s="5" t="n">
        <f aca="false">E219*I219</f>
        <v>204.166666666667</v>
      </c>
      <c r="K219" s="5" t="n">
        <f aca="false">0.31*Combined_Scenarios!H219+17.8</f>
        <v>15.32</v>
      </c>
      <c r="L219" s="5" t="n">
        <f aca="false">H219-K219</f>
        <v>-21.2727426258749</v>
      </c>
      <c r="M219" s="5" t="str">
        <f aca="false">IF(AND(H219&gt;=12,H219&lt;=35),"Within safe range","Outside safe range")</f>
        <v>Outside safe range</v>
      </c>
      <c r="N219" s="5" t="n">
        <f aca="false">MAX(0,100-ABS(L219)*8)</f>
        <v>0</v>
      </c>
      <c r="O219" s="5" t="n">
        <f aca="false">MAX(-3,MIN(3,L219/3))</f>
        <v>-3</v>
      </c>
      <c r="P219" s="5" t="n">
        <f aca="false">100-95*EXP(-(0.03353*O219^4+0.2179*O219^2))</f>
        <v>99.1158717152693</v>
      </c>
      <c r="Q219" s="5" t="n">
        <f aca="false">IF(H219&lt;18,E219*(18-H219),0)</f>
        <v>2388.73318091698</v>
      </c>
      <c r="R219" s="5" t="n">
        <f aca="false">IF(H219&gt;26,E219*(H219-26),0)</f>
        <v>0</v>
      </c>
      <c r="S219" s="5" t="n">
        <f aca="false">Q219+R219</f>
        <v>2388.73318091698</v>
      </c>
      <c r="T219" s="5" t="n">
        <f aca="false">MAX(0,100-S219/5)</f>
        <v>0</v>
      </c>
      <c r="U219" s="5" t="n">
        <f aca="false">(N219+T219)/2</f>
        <v>0</v>
      </c>
      <c r="V219" s="5" t="str">
        <f aca="false">IF(U219&gt;=60,"Recommended","Not Recommended")</f>
        <v>Not Recommended</v>
      </c>
      <c r="W219" s="5" t="str">
        <f aca="false">IF(Q219&gt;0,"Increase insulation thickness or reduce opening area to cut heat loss",IF(R219&gt;0,"Increase shading/ventilation or reduce solar-facing openings to cut heat gain","Design meets estimated comfort band without major changes"))</f>
        <v>Increase insulation thickness or reduce opening area to cut heat loss</v>
      </c>
      <c r="X219" s="5" t="s">
        <v>555</v>
      </c>
    </row>
    <row r="220" customFormat="false" ht="15" hidden="false" customHeight="false" outlineLevel="0" collapsed="false">
      <c r="A220" s="5" t="str">
        <f aca="false">Combined_Scenarios!A220</f>
        <v>S219</v>
      </c>
      <c r="B220" s="5" t="n">
        <f aca="false">0.5+Combined_Scenarios!AA220*10</f>
        <v>0.980769230769231</v>
      </c>
      <c r="C220" s="5" t="n">
        <f aca="false">0.33*B220*Combined_Scenarios!Z220</f>
        <v>9.51542307692308</v>
      </c>
      <c r="D220" s="5" t="n">
        <f aca="false">Combined_Scenarios!W220*Combined_Scenarios!X220</f>
        <v>27.9113924050633</v>
      </c>
      <c r="E220" s="5" t="n">
        <f aca="false">C220+D220</f>
        <v>37.4268154819864</v>
      </c>
      <c r="F220" s="5" t="n">
        <f aca="false">0.5*Combined_Scenarios!Y220</f>
        <v>0.875</v>
      </c>
      <c r="G220" s="5" t="n">
        <f aca="false">Combined_Scenarios!K220*F220</f>
        <v>145.833333333333</v>
      </c>
      <c r="H220" s="5" t="n">
        <f aca="false">Combined_Scenarios!H220+IF(E220=0,0,G220/E220)</f>
        <v>-4.10350676499519</v>
      </c>
      <c r="I220" s="5" t="n">
        <f aca="false">H220-Combined_Scenarios!H220</f>
        <v>3.89649323500481</v>
      </c>
      <c r="J220" s="5" t="n">
        <f aca="false">E220*I220</f>
        <v>145.833333333333</v>
      </c>
      <c r="K220" s="5" t="n">
        <f aca="false">0.31*Combined_Scenarios!H220+17.8</f>
        <v>15.32</v>
      </c>
      <c r="L220" s="5" t="n">
        <f aca="false">H220-K220</f>
        <v>-19.4235067649952</v>
      </c>
      <c r="M220" s="5" t="str">
        <f aca="false">IF(AND(H220&gt;=12,H220&lt;=35),"Within safe range","Outside safe range")</f>
        <v>Outside safe range</v>
      </c>
      <c r="N220" s="5" t="n">
        <f aca="false">MAX(0,100-ABS(L220)*8)</f>
        <v>0</v>
      </c>
      <c r="O220" s="5" t="n">
        <f aca="false">MAX(-3,MIN(3,L220/3))</f>
        <v>-3</v>
      </c>
      <c r="P220" s="5" t="n">
        <f aca="false">100-95*EXP(-(0.03353*O220^4+0.2179*O220^2))</f>
        <v>99.1158717152693</v>
      </c>
      <c r="Q220" s="5" t="n">
        <f aca="false">IF(H220&lt;18,E220*(18-H220),0)</f>
        <v>827.263869198312</v>
      </c>
      <c r="R220" s="5" t="n">
        <f aca="false">IF(H220&gt;26,E220*(H220-26),0)</f>
        <v>0</v>
      </c>
      <c r="S220" s="5" t="n">
        <f aca="false">Q220+R220</f>
        <v>827.263869198312</v>
      </c>
      <c r="T220" s="5" t="n">
        <f aca="false">MAX(0,100-S220/5)</f>
        <v>0</v>
      </c>
      <c r="U220" s="5" t="n">
        <f aca="false">(N220+T220)/2</f>
        <v>0</v>
      </c>
      <c r="V220" s="5" t="str">
        <f aca="false">IF(U220&gt;=60,"Recommended","Not Recommended")</f>
        <v>Not Recommended</v>
      </c>
      <c r="W220" s="5" t="str">
        <f aca="false">IF(Q220&gt;0,"Increase insulation thickness or reduce opening area to cut heat loss",IF(R220&gt;0,"Increase shading/ventilation or reduce solar-facing openings to cut heat gain","Design meets estimated comfort band without major changes"))</f>
        <v>Increase insulation thickness or reduce opening area to cut heat loss</v>
      </c>
      <c r="X220" s="5" t="s">
        <v>555</v>
      </c>
    </row>
    <row r="221" customFormat="false" ht="15" hidden="false" customHeight="false" outlineLevel="0" collapsed="false">
      <c r="A221" s="5" t="str">
        <f aca="false">Combined_Scenarios!A221</f>
        <v>S220</v>
      </c>
      <c r="B221" s="5" t="n">
        <f aca="false">0.5+Combined_Scenarios!AA221*10</f>
        <v>1.17307692307692</v>
      </c>
      <c r="C221" s="5" t="n">
        <f aca="false">0.33*B221*Combined_Scenarios!Z221</f>
        <v>11.3811923076923</v>
      </c>
      <c r="D221" s="5" t="n">
        <f aca="false">Combined_Scenarios!W221*Combined_Scenarios!X221</f>
        <v>27.3475258918297</v>
      </c>
      <c r="E221" s="5" t="n">
        <f aca="false">C221+D221</f>
        <v>38.728718199522</v>
      </c>
      <c r="F221" s="5" t="n">
        <f aca="false">0.5*Combined_Scenarios!Y221</f>
        <v>1.225</v>
      </c>
      <c r="G221" s="5" t="n">
        <f aca="false">Combined_Scenarios!K221*F221</f>
        <v>204.166666666667</v>
      </c>
      <c r="H221" s="5" t="n">
        <f aca="false">Combined_Scenarios!H221+IF(E221=0,0,G221/E221)</f>
        <v>-2.7282875303323</v>
      </c>
      <c r="I221" s="5" t="n">
        <f aca="false">H221-Combined_Scenarios!H221</f>
        <v>5.2717124696677</v>
      </c>
      <c r="J221" s="5" t="n">
        <f aca="false">E221*I221</f>
        <v>204.166666666667</v>
      </c>
      <c r="K221" s="5" t="n">
        <f aca="false">0.31*Combined_Scenarios!H221+17.8</f>
        <v>15.32</v>
      </c>
      <c r="L221" s="5" t="n">
        <f aca="false">H221-K221</f>
        <v>-18.0482875303323</v>
      </c>
      <c r="M221" s="5" t="str">
        <f aca="false">IF(AND(H221&gt;=12,H221&lt;=35),"Within safe range","Outside safe range")</f>
        <v>Outside safe range</v>
      </c>
      <c r="N221" s="5" t="n">
        <f aca="false">MAX(0,100-ABS(L221)*8)</f>
        <v>0</v>
      </c>
      <c r="O221" s="5" t="n">
        <f aca="false">MAX(-3,MIN(3,L221/3))</f>
        <v>-3</v>
      </c>
      <c r="P221" s="5" t="n">
        <f aca="false">100-95*EXP(-(0.03353*O221^4+0.2179*O221^2))</f>
        <v>99.1158717152693</v>
      </c>
      <c r="Q221" s="5" t="n">
        <f aca="false">IF(H221&lt;18,E221*(18-H221),0)</f>
        <v>802.780006520905</v>
      </c>
      <c r="R221" s="5" t="n">
        <f aca="false">IF(H221&gt;26,E221*(H221-26),0)</f>
        <v>0</v>
      </c>
      <c r="S221" s="5" t="n">
        <f aca="false">Q221+R221</f>
        <v>802.780006520905</v>
      </c>
      <c r="T221" s="5" t="n">
        <f aca="false">MAX(0,100-S221/5)</f>
        <v>0</v>
      </c>
      <c r="U221" s="5" t="n">
        <f aca="false">(N221+T221)/2</f>
        <v>0</v>
      </c>
      <c r="V221" s="5" t="str">
        <f aca="false">IF(U221&gt;=60,"Recommended","Not Recommended")</f>
        <v>Not Recommended</v>
      </c>
      <c r="W221" s="5" t="str">
        <f aca="false">IF(Q221&gt;0,"Increase insulation thickness or reduce opening area to cut heat loss",IF(R221&gt;0,"Increase shading/ventilation or reduce solar-facing openings to cut heat gain","Design meets estimated comfort band without major changes"))</f>
        <v>Increase insulation thickness or reduce opening area to cut heat loss</v>
      </c>
      <c r="X221" s="5" t="s">
        <v>555</v>
      </c>
    </row>
    <row r="222" customFormat="false" ht="15" hidden="false" customHeight="false" outlineLevel="0" collapsed="false">
      <c r="A222" s="5" t="str">
        <f aca="false">Combined_Scenarios!A222</f>
        <v>S221</v>
      </c>
      <c r="B222" s="5" t="n">
        <f aca="false">0.5+Combined_Scenarios!AA222*10</f>
        <v>0.884615384615385</v>
      </c>
      <c r="C222" s="5" t="n">
        <f aca="false">0.33*B222*Combined_Scenarios!Z222</f>
        <v>9.29775</v>
      </c>
      <c r="D222" s="5" t="n">
        <f aca="false">Combined_Scenarios!W222*Combined_Scenarios!X222</f>
        <v>19.2905391405246</v>
      </c>
      <c r="E222" s="5" t="n">
        <f aca="false">C222+D222</f>
        <v>28.5882891405246</v>
      </c>
      <c r="F222" s="5" t="n">
        <f aca="false">0.5*Combined_Scenarios!Y222</f>
        <v>0.7</v>
      </c>
      <c r="G222" s="5" t="n">
        <f aca="false">Combined_Scenarios!K222*F222</f>
        <v>189.583333333333</v>
      </c>
      <c r="H222" s="5" t="n">
        <f aca="false">Combined_Scenarios!H222+IF(E222=0,0,G222/E222)</f>
        <v>44.6315032844898</v>
      </c>
      <c r="I222" s="5" t="n">
        <f aca="false">H222-Combined_Scenarios!H222</f>
        <v>6.6315032844898</v>
      </c>
      <c r="J222" s="5" t="n">
        <f aca="false">E222*I222</f>
        <v>189.583333333333</v>
      </c>
      <c r="K222" s="5" t="n">
        <f aca="false">0.31*Combined_Scenarios!H222+17.8</f>
        <v>29.58</v>
      </c>
      <c r="L222" s="5" t="n">
        <f aca="false">H222-K222</f>
        <v>15.0515032844898</v>
      </c>
      <c r="M222" s="5" t="str">
        <f aca="false">IF(AND(H222&gt;=12,H222&lt;=35),"Within safe range","Outside safe range")</f>
        <v>Outside safe range</v>
      </c>
      <c r="N222" s="5" t="n">
        <f aca="false">MAX(0,100-ABS(L222)*8)</f>
        <v>0</v>
      </c>
      <c r="O222" s="5" t="n">
        <f aca="false">MAX(-3,MIN(3,L222/3))</f>
        <v>3</v>
      </c>
      <c r="P222" s="5" t="n">
        <f aca="false">100-95*EXP(-(0.03353*O222^4+0.2179*O222^2))</f>
        <v>99.1158717152693</v>
      </c>
      <c r="Q222" s="5" t="n">
        <f aca="false">IF(H222&lt;18,E222*(18-H222),0)</f>
        <v>0</v>
      </c>
      <c r="R222" s="5" t="n">
        <f aca="false">IF(H222&gt;26,E222*(H222-26),0)</f>
        <v>532.642803019629</v>
      </c>
      <c r="S222" s="5" t="n">
        <f aca="false">Q222+R222</f>
        <v>532.642803019629</v>
      </c>
      <c r="T222" s="5" t="n">
        <f aca="false">MAX(0,100-S222/5)</f>
        <v>0</v>
      </c>
      <c r="U222" s="5" t="n">
        <f aca="false">(N222+T222)/2</f>
        <v>0</v>
      </c>
      <c r="V222" s="5" t="str">
        <f aca="false">IF(U222&gt;=60,"Recommended","Not Recommended")</f>
        <v>Not Recommended</v>
      </c>
      <c r="W222" s="5" t="str">
        <f aca="false">IF(Q222&gt;0,"Increase insulation thickness or reduce opening area to cut heat loss",IF(R222&gt;0,"Increase shading/ventilation or reduce solar-facing openings to cut heat gain","Design meets estimated comfort band without major changes"))</f>
        <v>Increase shading/ventilation or reduce solar-facing openings to cut heat gain</v>
      </c>
      <c r="X222" s="5" t="s">
        <v>555</v>
      </c>
    </row>
    <row r="223" customFormat="false" ht="15" hidden="false" customHeight="false" outlineLevel="0" collapsed="false">
      <c r="A223" s="5" t="str">
        <f aca="false">Combined_Scenarios!A223</f>
        <v>S222</v>
      </c>
      <c r="B223" s="5" t="n">
        <f aca="false">0.5+Combined_Scenarios!AA223*10</f>
        <v>0.884615384615385</v>
      </c>
      <c r="C223" s="5" t="n">
        <f aca="false">0.33*B223*Combined_Scenarios!Z223</f>
        <v>9.29775</v>
      </c>
      <c r="D223" s="5" t="n">
        <f aca="false">Combined_Scenarios!W223*Combined_Scenarios!X223</f>
        <v>11.1815714251399</v>
      </c>
      <c r="E223" s="5" t="n">
        <f aca="false">C223+D223</f>
        <v>20.4793214251399</v>
      </c>
      <c r="F223" s="5" t="n">
        <f aca="false">0.5*Combined_Scenarios!Y223</f>
        <v>0.7</v>
      </c>
      <c r="G223" s="5" t="n">
        <f aca="false">Combined_Scenarios!K223*F223</f>
        <v>189.583333333333</v>
      </c>
      <c r="H223" s="5" t="n">
        <f aca="false">Combined_Scenarios!H223+IF(E223=0,0,G223/E223)</f>
        <v>47.2573054251986</v>
      </c>
      <c r="I223" s="5" t="n">
        <f aca="false">H223-Combined_Scenarios!H223</f>
        <v>9.25730542519858</v>
      </c>
      <c r="J223" s="5" t="n">
        <f aca="false">E223*I223</f>
        <v>189.583333333333</v>
      </c>
      <c r="K223" s="5" t="n">
        <f aca="false">0.31*Combined_Scenarios!H223+17.8</f>
        <v>29.58</v>
      </c>
      <c r="L223" s="5" t="n">
        <f aca="false">H223-K223</f>
        <v>17.6773054251986</v>
      </c>
      <c r="M223" s="5" t="str">
        <f aca="false">IF(AND(H223&gt;=12,H223&lt;=35),"Within safe range","Outside safe range")</f>
        <v>Outside safe range</v>
      </c>
      <c r="N223" s="5" t="n">
        <f aca="false">MAX(0,100-ABS(L223)*8)</f>
        <v>0</v>
      </c>
      <c r="O223" s="5" t="n">
        <f aca="false">MAX(-3,MIN(3,L223/3))</f>
        <v>3</v>
      </c>
      <c r="P223" s="5" t="n">
        <f aca="false">100-95*EXP(-(0.03353*O223^4+0.2179*O223^2))</f>
        <v>99.1158717152693</v>
      </c>
      <c r="Q223" s="5" t="n">
        <f aca="false">IF(H223&lt;18,E223*(18-H223),0)</f>
        <v>0</v>
      </c>
      <c r="R223" s="5" t="n">
        <f aca="false">IF(H223&gt;26,E223*(H223-26),0)</f>
        <v>435.335190435012</v>
      </c>
      <c r="S223" s="5" t="n">
        <f aca="false">Q223+R223</f>
        <v>435.335190435012</v>
      </c>
      <c r="T223" s="5" t="n">
        <f aca="false">MAX(0,100-S223/5)</f>
        <v>12.9329619129975</v>
      </c>
      <c r="U223" s="5" t="n">
        <f aca="false">(N223+T223)/2</f>
        <v>6.46648095649876</v>
      </c>
      <c r="V223" s="5" t="str">
        <f aca="false">IF(U223&gt;=60,"Recommended","Not Recommended")</f>
        <v>Not Recommended</v>
      </c>
      <c r="W223" s="5" t="str">
        <f aca="false">IF(Q223&gt;0,"Increase insulation thickness or reduce opening area to cut heat loss",IF(R223&gt;0,"Increase shading/ventilation or reduce solar-facing openings to cut heat gain","Design meets estimated comfort band without major changes"))</f>
        <v>Increase shading/ventilation or reduce solar-facing openings to cut heat gain</v>
      </c>
      <c r="X223" s="5" t="s">
        <v>555</v>
      </c>
    </row>
    <row r="224" customFormat="false" ht="15" hidden="false" customHeight="false" outlineLevel="0" collapsed="false">
      <c r="A224" s="5" t="str">
        <f aca="false">Combined_Scenarios!A224</f>
        <v>S223</v>
      </c>
      <c r="B224" s="5" t="n">
        <f aca="false">0.5+Combined_Scenarios!AA224*10</f>
        <v>0.884615384615385</v>
      </c>
      <c r="C224" s="5" t="n">
        <f aca="false">0.33*B224*Combined_Scenarios!Z224</f>
        <v>9.29775</v>
      </c>
      <c r="D224" s="5" t="n">
        <f aca="false">Combined_Scenarios!W224*Combined_Scenarios!X224</f>
        <v>13.6867484049278</v>
      </c>
      <c r="E224" s="5" t="n">
        <f aca="false">C224+D224</f>
        <v>22.9844984049278</v>
      </c>
      <c r="F224" s="5" t="n">
        <f aca="false">0.5*Combined_Scenarios!Y224</f>
        <v>0.7</v>
      </c>
      <c r="G224" s="5" t="n">
        <f aca="false">Combined_Scenarios!K224*F224</f>
        <v>189.583333333333</v>
      </c>
      <c r="H224" s="5" t="n">
        <f aca="false">Combined_Scenarios!H224+IF(E224=0,0,G224/E224)</f>
        <v>46.248312840827</v>
      </c>
      <c r="I224" s="5" t="n">
        <f aca="false">H224-Combined_Scenarios!H224</f>
        <v>8.24831284082698</v>
      </c>
      <c r="J224" s="5" t="n">
        <f aca="false">E224*I224</f>
        <v>189.583333333333</v>
      </c>
      <c r="K224" s="5" t="n">
        <f aca="false">0.31*Combined_Scenarios!H224+17.8</f>
        <v>29.58</v>
      </c>
      <c r="L224" s="5" t="n">
        <f aca="false">H224-K224</f>
        <v>16.668312840827</v>
      </c>
      <c r="M224" s="5" t="str">
        <f aca="false">IF(AND(H224&gt;=12,H224&lt;=35),"Within safe range","Outside safe range")</f>
        <v>Outside safe range</v>
      </c>
      <c r="N224" s="5" t="n">
        <f aca="false">MAX(0,100-ABS(L224)*8)</f>
        <v>0</v>
      </c>
      <c r="O224" s="5" t="n">
        <f aca="false">MAX(-3,MIN(3,L224/3))</f>
        <v>3</v>
      </c>
      <c r="P224" s="5" t="n">
        <f aca="false">100-95*EXP(-(0.03353*O224^4+0.2179*O224^2))</f>
        <v>99.1158717152693</v>
      </c>
      <c r="Q224" s="5" t="n">
        <f aca="false">IF(H224&lt;18,E224*(18-H224),0)</f>
        <v>0</v>
      </c>
      <c r="R224" s="5" t="n">
        <f aca="false">IF(H224&gt;26,E224*(H224-26),0)</f>
        <v>465.397314192467</v>
      </c>
      <c r="S224" s="5" t="n">
        <f aca="false">Q224+R224</f>
        <v>465.397314192467</v>
      </c>
      <c r="T224" s="5" t="n">
        <f aca="false">MAX(0,100-S224/5)</f>
        <v>6.92053716150657</v>
      </c>
      <c r="U224" s="5" t="n">
        <f aca="false">(N224+T224)/2</f>
        <v>3.46026858075329</v>
      </c>
      <c r="V224" s="5" t="str">
        <f aca="false">IF(U224&gt;=60,"Recommended","Not Recommended")</f>
        <v>Not Recommended</v>
      </c>
      <c r="W224" s="5" t="str">
        <f aca="false">IF(Q224&gt;0,"Increase insulation thickness or reduce opening area to cut heat loss",IF(R224&gt;0,"Increase shading/ventilation or reduce solar-facing openings to cut heat gain","Design meets estimated comfort band without major changes"))</f>
        <v>Increase shading/ventilation or reduce solar-facing openings to cut heat gain</v>
      </c>
      <c r="X224" s="5" t="s">
        <v>555</v>
      </c>
    </row>
    <row r="225" customFormat="false" ht="15" hidden="false" customHeight="false" outlineLevel="0" collapsed="false">
      <c r="A225" s="5" t="str">
        <f aca="false">Combined_Scenarios!A225</f>
        <v>S224</v>
      </c>
      <c r="B225" s="5" t="n">
        <f aca="false">0.5+Combined_Scenarios!AA225*10</f>
        <v>0.884615384615385</v>
      </c>
      <c r="C225" s="5" t="n">
        <f aca="false">0.33*B225*Combined_Scenarios!Z225</f>
        <v>9.29775</v>
      </c>
      <c r="D225" s="5" t="n">
        <f aca="false">Combined_Scenarios!W225*Combined_Scenarios!X225</f>
        <v>9.03690473879366</v>
      </c>
      <c r="E225" s="5" t="n">
        <f aca="false">C225+D225</f>
        <v>18.3346547387937</v>
      </c>
      <c r="F225" s="5" t="n">
        <f aca="false">0.5*Combined_Scenarios!Y225</f>
        <v>0.7</v>
      </c>
      <c r="G225" s="5" t="n">
        <f aca="false">Combined_Scenarios!K225*F225</f>
        <v>189.583333333333</v>
      </c>
      <c r="H225" s="5" t="n">
        <f aca="false">Combined_Scenarios!H225+IF(E225=0,0,G225/E225)</f>
        <v>48.3401638064228</v>
      </c>
      <c r="I225" s="5" t="n">
        <f aca="false">H225-Combined_Scenarios!H225</f>
        <v>10.3401638064228</v>
      </c>
      <c r="J225" s="5" t="n">
        <f aca="false">E225*I225</f>
        <v>189.583333333333</v>
      </c>
      <c r="K225" s="5" t="n">
        <f aca="false">0.31*Combined_Scenarios!H225+17.8</f>
        <v>29.58</v>
      </c>
      <c r="L225" s="5" t="n">
        <f aca="false">H225-K225</f>
        <v>18.7601638064228</v>
      </c>
      <c r="M225" s="5" t="str">
        <f aca="false">IF(AND(H225&gt;=12,H225&lt;=35),"Within safe range","Outside safe range")</f>
        <v>Outside safe range</v>
      </c>
      <c r="N225" s="5" t="n">
        <f aca="false">MAX(0,100-ABS(L225)*8)</f>
        <v>0</v>
      </c>
      <c r="O225" s="5" t="n">
        <f aca="false">MAX(-3,MIN(3,L225/3))</f>
        <v>3</v>
      </c>
      <c r="P225" s="5" t="n">
        <f aca="false">100-95*EXP(-(0.03353*O225^4+0.2179*O225^2))</f>
        <v>99.1158717152693</v>
      </c>
      <c r="Q225" s="5" t="n">
        <f aca="false">IF(H225&lt;18,E225*(18-H225),0)</f>
        <v>0</v>
      </c>
      <c r="R225" s="5" t="n">
        <f aca="false">IF(H225&gt;26,E225*(H225-26),0)</f>
        <v>409.599190198857</v>
      </c>
      <c r="S225" s="5" t="n">
        <f aca="false">Q225+R225</f>
        <v>409.599190198857</v>
      </c>
      <c r="T225" s="5" t="n">
        <f aca="false">MAX(0,100-S225/5)</f>
        <v>18.0801619602286</v>
      </c>
      <c r="U225" s="5" t="n">
        <f aca="false">(N225+T225)/2</f>
        <v>9.04008098011428</v>
      </c>
      <c r="V225" s="5" t="str">
        <f aca="false">IF(U225&gt;=60,"Recommended","Not Recommended")</f>
        <v>Not Recommended</v>
      </c>
      <c r="W225" s="5" t="str">
        <f aca="false">IF(Q225&gt;0,"Increase insulation thickness or reduce opening area to cut heat loss",IF(R225&gt;0,"Increase shading/ventilation or reduce solar-facing openings to cut heat gain","Design meets estimated comfort band without major changes"))</f>
        <v>Increase shading/ventilation or reduce solar-facing openings to cut heat gain</v>
      </c>
      <c r="X225" s="5" t="s">
        <v>555</v>
      </c>
    </row>
    <row r="226" customFormat="false" ht="15" hidden="false" customHeight="false" outlineLevel="0" collapsed="false">
      <c r="A226" s="5" t="str">
        <f aca="false">Combined_Scenarios!A226</f>
        <v>S225</v>
      </c>
      <c r="B226" s="5" t="n">
        <f aca="false">0.5+Combined_Scenarios!AA226*10</f>
        <v>0.878787878787879</v>
      </c>
      <c r="C226" s="5" t="n">
        <f aca="false">0.33*B226*Combined_Scenarios!Z226</f>
        <v>5.742</v>
      </c>
      <c r="D226" s="5" t="n">
        <f aca="false">Combined_Scenarios!W226*Combined_Scenarios!X226</f>
        <v>120.952380952381</v>
      </c>
      <c r="E226" s="5" t="n">
        <f aca="false">C226+D226</f>
        <v>126.694380952381</v>
      </c>
      <c r="F226" s="5" t="n">
        <f aca="false">0.5*Combined_Scenarios!Y226</f>
        <v>0.5</v>
      </c>
      <c r="G226" s="5" t="n">
        <f aca="false">Combined_Scenarios!K226*F226</f>
        <v>79.1666666666667</v>
      </c>
      <c r="H226" s="5" t="n">
        <f aca="false">Combined_Scenarios!H226+IF(E226=0,0,G226/E226)</f>
        <v>28.6248632817932</v>
      </c>
      <c r="I226" s="5" t="n">
        <f aca="false">H226-Combined_Scenarios!H226</f>
        <v>0.624863281793232</v>
      </c>
      <c r="J226" s="5" t="n">
        <f aca="false">E226*I226</f>
        <v>79.1666666666667</v>
      </c>
      <c r="K226" s="5" t="n">
        <f aca="false">0.31*Combined_Scenarios!H226+17.8</f>
        <v>26.48</v>
      </c>
      <c r="L226" s="5" t="n">
        <f aca="false">H226-K226</f>
        <v>2.14486328179323</v>
      </c>
      <c r="M226" s="5" t="str">
        <f aca="false">IF(AND(H226&gt;=12,H226&lt;=35),"Within safe range","Outside safe range")</f>
        <v>Within safe range</v>
      </c>
      <c r="N226" s="5" t="n">
        <f aca="false">MAX(0,100-ABS(L226)*8)</f>
        <v>82.8410937456542</v>
      </c>
      <c r="O226" s="5" t="n">
        <f aca="false">MAX(-3,MIN(3,L226/3))</f>
        <v>0.714954427264411</v>
      </c>
      <c r="P226" s="5" t="n">
        <f aca="false">100-95*EXP(-(0.03353*O226^4+0.2179*O226^2))</f>
        <v>15.7545721527934</v>
      </c>
      <c r="Q226" s="5" t="n">
        <f aca="false">IF(H226&lt;18,E226*(18-H226),0)</f>
        <v>0</v>
      </c>
      <c r="R226" s="5" t="n">
        <f aca="false">IF(H226&gt;26,E226*(H226-26),0)</f>
        <v>332.555428571429</v>
      </c>
      <c r="S226" s="5" t="n">
        <f aca="false">Q226+R226</f>
        <v>332.555428571429</v>
      </c>
      <c r="T226" s="5" t="n">
        <f aca="false">MAX(0,100-S226/5)</f>
        <v>33.4889142857143</v>
      </c>
      <c r="U226" s="5" t="n">
        <f aca="false">(N226+T226)/2</f>
        <v>58.1650040156842</v>
      </c>
      <c r="V226" s="5" t="str">
        <f aca="false">IF(U226&gt;=60,"Recommended","Not Recommended")</f>
        <v>Not Recommended</v>
      </c>
      <c r="W226" s="5" t="str">
        <f aca="false">IF(Q226&gt;0,"Increase insulation thickness or reduce opening area to cut heat loss",IF(R226&gt;0,"Increase shading/ventilation or reduce solar-facing openings to cut heat gain","Design meets estimated comfort band without major changes"))</f>
        <v>Increase shading/ventilation or reduce solar-facing openings to cut heat gain</v>
      </c>
      <c r="X226" s="5" t="s">
        <v>555</v>
      </c>
    </row>
    <row r="227" customFormat="false" ht="15" hidden="false" customHeight="false" outlineLevel="0" collapsed="false">
      <c r="A227" s="5" t="str">
        <f aca="false">Combined_Scenarios!A227</f>
        <v>S226</v>
      </c>
      <c r="B227" s="5" t="n">
        <f aca="false">0.5+Combined_Scenarios!AA227*10</f>
        <v>0.81055900621118</v>
      </c>
      <c r="C227" s="5" t="n">
        <f aca="false">0.33*B227*Combined_Scenarios!Z227</f>
        <v>7.38257142857143</v>
      </c>
      <c r="D227" s="5" t="n">
        <f aca="false">Combined_Scenarios!W227*Combined_Scenarios!X227</f>
        <v>148.571428571429</v>
      </c>
      <c r="E227" s="5" t="n">
        <f aca="false">C227+D227</f>
        <v>155.954</v>
      </c>
      <c r="F227" s="5" t="n">
        <f aca="false">0.5*Combined_Scenarios!Y227</f>
        <v>0.5</v>
      </c>
      <c r="G227" s="5" t="n">
        <f aca="false">Combined_Scenarios!K227*F227</f>
        <v>79.1666666666667</v>
      </c>
      <c r="H227" s="5" t="n">
        <f aca="false">Combined_Scenarios!H227+IF(E227=0,0,G227/E227)</f>
        <v>28.5076283177518</v>
      </c>
      <c r="I227" s="5" t="n">
        <f aca="false">H227-Combined_Scenarios!H227</f>
        <v>0.507628317751816</v>
      </c>
      <c r="J227" s="5" t="n">
        <f aca="false">E227*I227</f>
        <v>79.1666666666668</v>
      </c>
      <c r="K227" s="5" t="n">
        <f aca="false">0.31*Combined_Scenarios!H227+17.8</f>
        <v>26.48</v>
      </c>
      <c r="L227" s="5" t="n">
        <f aca="false">H227-K227</f>
        <v>2.02762831775182</v>
      </c>
      <c r="M227" s="5" t="str">
        <f aca="false">IF(AND(H227&gt;=12,H227&lt;=35),"Within safe range","Outside safe range")</f>
        <v>Within safe range</v>
      </c>
      <c r="N227" s="5" t="n">
        <f aca="false">MAX(0,100-ABS(L227)*8)</f>
        <v>83.7789734579855</v>
      </c>
      <c r="O227" s="5" t="n">
        <f aca="false">MAX(-3,MIN(3,L227/3))</f>
        <v>0.675876105917272</v>
      </c>
      <c r="P227" s="5" t="n">
        <f aca="false">100-95*EXP(-(0.03353*O227^4+0.2179*O227^2))</f>
        <v>14.6003948354128</v>
      </c>
      <c r="Q227" s="5" t="n">
        <f aca="false">IF(H227&lt;18,E227*(18-H227),0)</f>
        <v>0</v>
      </c>
      <c r="R227" s="5" t="n">
        <f aca="false">IF(H227&gt;26,E227*(H227-26),0)</f>
        <v>391.074666666667</v>
      </c>
      <c r="S227" s="5" t="n">
        <f aca="false">Q227+R227</f>
        <v>391.074666666667</v>
      </c>
      <c r="T227" s="5" t="n">
        <f aca="false">MAX(0,100-S227/5)</f>
        <v>21.7850666666667</v>
      </c>
      <c r="U227" s="5" t="n">
        <f aca="false">(N227+T227)/2</f>
        <v>52.7820200623261</v>
      </c>
      <c r="V227" s="5" t="str">
        <f aca="false">IF(U227&gt;=60,"Recommended","Not Recommended")</f>
        <v>Not Recommended</v>
      </c>
      <c r="W227" s="5" t="str">
        <f aca="false">IF(Q227&gt;0,"Increase insulation thickness or reduce opening area to cut heat loss",IF(R227&gt;0,"Increase shading/ventilation or reduce solar-facing openings to cut heat gain","Design meets estimated comfort band without major changes"))</f>
        <v>Increase shading/ventilation or reduce solar-facing openings to cut heat gain</v>
      </c>
      <c r="X227" s="5" t="s">
        <v>555</v>
      </c>
    </row>
    <row r="228" customFormat="false" ht="15" hidden="false" customHeight="false" outlineLevel="0" collapsed="false">
      <c r="A228" s="5" t="str">
        <f aca="false">Combined_Scenarios!A228</f>
        <v>S227</v>
      </c>
      <c r="B228" s="5" t="n">
        <f aca="false">0.5+Combined_Scenarios!AA228*10</f>
        <v>0.884615384615385</v>
      </c>
      <c r="C228" s="5" t="n">
        <f aca="false">0.33*B228*Combined_Scenarios!Z228</f>
        <v>15.18</v>
      </c>
      <c r="D228" s="5" t="n">
        <f aca="false">Combined_Scenarios!W228*Combined_Scenarios!X228</f>
        <v>10.7913669064748</v>
      </c>
      <c r="E228" s="5" t="n">
        <f aca="false">C228+D228</f>
        <v>25.9713669064748</v>
      </c>
      <c r="F228" s="5" t="n">
        <f aca="false">0.5*Combined_Scenarios!Y228</f>
        <v>0.9</v>
      </c>
      <c r="G228" s="5" t="n">
        <f aca="false">Combined_Scenarios!K228*F228</f>
        <v>243.75</v>
      </c>
      <c r="H228" s="5" t="n">
        <f aca="false">Combined_Scenarios!H228+IF(E228=0,0,G228/E228)</f>
        <v>47.385335815314</v>
      </c>
      <c r="I228" s="5" t="n">
        <f aca="false">H228-Combined_Scenarios!H228</f>
        <v>9.38533581531404</v>
      </c>
      <c r="J228" s="5" t="n">
        <f aca="false">E228*I228</f>
        <v>243.75</v>
      </c>
      <c r="K228" s="5" t="n">
        <f aca="false">0.31*Combined_Scenarios!H228+17.8</f>
        <v>29.58</v>
      </c>
      <c r="L228" s="5" t="n">
        <f aca="false">H228-K228</f>
        <v>17.805335815314</v>
      </c>
      <c r="M228" s="5" t="str">
        <f aca="false">IF(AND(H228&gt;=12,H228&lt;=35),"Within safe range","Outside safe range")</f>
        <v>Outside safe range</v>
      </c>
      <c r="N228" s="5" t="n">
        <f aca="false">MAX(0,100-ABS(L228)*8)</f>
        <v>0</v>
      </c>
      <c r="O228" s="5" t="n">
        <f aca="false">MAX(-3,MIN(3,L228/3))</f>
        <v>3</v>
      </c>
      <c r="P228" s="5" t="n">
        <f aca="false">100-95*EXP(-(0.03353*O228^4+0.2179*O228^2))</f>
        <v>99.1158717152693</v>
      </c>
      <c r="Q228" s="5" t="n">
        <f aca="false">IF(H228&lt;18,E228*(18-H228),0)</f>
        <v>0</v>
      </c>
      <c r="R228" s="5" t="n">
        <f aca="false">IF(H228&gt;26,E228*(H228-26),0)</f>
        <v>555.406402877698</v>
      </c>
      <c r="S228" s="5" t="n">
        <f aca="false">Q228+R228</f>
        <v>555.406402877698</v>
      </c>
      <c r="T228" s="5" t="n">
        <f aca="false">MAX(0,100-S228/5)</f>
        <v>0</v>
      </c>
      <c r="U228" s="5" t="n">
        <f aca="false">(N228+T228)/2</f>
        <v>0</v>
      </c>
      <c r="V228" s="5" t="str">
        <f aca="false">IF(U228&gt;=60,"Recommended","Not Recommended")</f>
        <v>Not Recommended</v>
      </c>
      <c r="W228" s="5" t="str">
        <f aca="false">IF(Q228&gt;0,"Increase insulation thickness or reduce opening area to cut heat loss",IF(R228&gt;0,"Increase shading/ventilation or reduce solar-facing openings to cut heat gain","Design meets estimated comfort band without major changes"))</f>
        <v>Increase shading/ventilation or reduce solar-facing openings to cut heat gain</v>
      </c>
      <c r="X228" s="5" t="s">
        <v>555</v>
      </c>
    </row>
    <row r="229" customFormat="false" ht="15" hidden="false" customHeight="false" outlineLevel="0" collapsed="false">
      <c r="A229" s="5" t="str">
        <f aca="false">Combined_Scenarios!A229</f>
        <v>S228</v>
      </c>
      <c r="B229" s="5" t="n">
        <f aca="false">0.5+Combined_Scenarios!AA229*10</f>
        <v>0.800751879699248</v>
      </c>
      <c r="C229" s="5" t="n">
        <f aca="false">0.33*B229*Combined_Scenarios!Z229</f>
        <v>16.6476315789474</v>
      </c>
      <c r="D229" s="5" t="n">
        <f aca="false">Combined_Scenarios!W229*Combined_Scenarios!X229</f>
        <v>31.5067953515856</v>
      </c>
      <c r="E229" s="5" t="n">
        <f aca="false">C229+D229</f>
        <v>48.154426930533</v>
      </c>
      <c r="F229" s="5" t="n">
        <f aca="false">0.5*Combined_Scenarios!Y229</f>
        <v>0.8</v>
      </c>
      <c r="G229" s="5" t="n">
        <f aca="false">Combined_Scenarios!K229*F229</f>
        <v>133.333333333333</v>
      </c>
      <c r="H229" s="5" t="n">
        <f aca="false">Combined_Scenarios!H229+IF(E229=0,0,G229/E229)</f>
        <v>-5.23113030655149</v>
      </c>
      <c r="I229" s="5" t="n">
        <f aca="false">H229-Combined_Scenarios!H229</f>
        <v>2.76886969344851</v>
      </c>
      <c r="J229" s="5" t="n">
        <f aca="false">E229*I229</f>
        <v>133.333333333333</v>
      </c>
      <c r="K229" s="5" t="n">
        <f aca="false">0.31*Combined_Scenarios!H229+17.8</f>
        <v>15.32</v>
      </c>
      <c r="L229" s="5" t="n">
        <f aca="false">H229-K229</f>
        <v>-20.5511303065515</v>
      </c>
      <c r="M229" s="5" t="str">
        <f aca="false">IF(AND(H229&gt;=12,H229&lt;=35),"Within safe range","Outside safe range")</f>
        <v>Outside safe range</v>
      </c>
      <c r="N229" s="5" t="n">
        <f aca="false">MAX(0,100-ABS(L229)*8)</f>
        <v>0</v>
      </c>
      <c r="O229" s="5" t="n">
        <f aca="false">MAX(-3,MIN(3,L229/3))</f>
        <v>-3</v>
      </c>
      <c r="P229" s="5" t="n">
        <f aca="false">100-95*EXP(-(0.03353*O229^4+0.2179*O229^2))</f>
        <v>99.1158717152693</v>
      </c>
      <c r="Q229" s="5" t="n">
        <f aca="false">IF(H229&lt;18,E229*(18-H229),0)</f>
        <v>1118.68176686052</v>
      </c>
      <c r="R229" s="5" t="n">
        <f aca="false">IF(H229&gt;26,E229*(H229-26),0)</f>
        <v>0</v>
      </c>
      <c r="S229" s="5" t="n">
        <f aca="false">Q229+R229</f>
        <v>1118.68176686052</v>
      </c>
      <c r="T229" s="5" t="n">
        <f aca="false">MAX(0,100-S229/5)</f>
        <v>0</v>
      </c>
      <c r="U229" s="5" t="n">
        <f aca="false">(N229+T229)/2</f>
        <v>0</v>
      </c>
      <c r="V229" s="5" t="str">
        <f aca="false">IF(U229&gt;=60,"Recommended","Not Recommended")</f>
        <v>Not Recommended</v>
      </c>
      <c r="W229" s="5" t="str">
        <f aca="false">IF(Q229&gt;0,"Increase insulation thickness or reduce opening area to cut heat loss",IF(R229&gt;0,"Increase shading/ventilation or reduce solar-facing openings to cut heat gain","Design meets estimated comfort band without major changes"))</f>
        <v>Increase insulation thickness or reduce opening area to cut heat loss</v>
      </c>
      <c r="X229" s="5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42"/>
    <col collapsed="false" customWidth="true" hidden="false" outlineLevel="0" max="9" min="9" style="0" width="55"/>
  </cols>
  <sheetData>
    <row r="1" customFormat="false" ht="15" hidden="false" customHeight="false" outlineLevel="0" collapsed="false">
      <c r="A1" s="4" t="s">
        <v>556</v>
      </c>
      <c r="B1" s="4" t="s">
        <v>557</v>
      </c>
      <c r="C1" s="4" t="s">
        <v>558</v>
      </c>
      <c r="D1" s="4" t="s">
        <v>559</v>
      </c>
      <c r="E1" s="4" t="s">
        <v>560</v>
      </c>
      <c r="F1" s="4" t="s">
        <v>561</v>
      </c>
      <c r="G1" s="4" t="s">
        <v>562</v>
      </c>
      <c r="H1" s="4" t="s">
        <v>563</v>
      </c>
      <c r="I1" s="4" t="s">
        <v>564</v>
      </c>
    </row>
    <row r="2" customFormat="false" ht="15" hidden="false" customHeight="false" outlineLevel="0" collapsed="false">
      <c r="A2" s="5" t="s">
        <v>0</v>
      </c>
      <c r="B2" s="5" t="s">
        <v>565</v>
      </c>
      <c r="C2" s="5" t="s">
        <v>566</v>
      </c>
      <c r="D2" s="5" t="s">
        <v>567</v>
      </c>
      <c r="E2" s="5" t="s">
        <v>568</v>
      </c>
      <c r="F2" s="5" t="s">
        <v>569</v>
      </c>
      <c r="G2" s="5" t="s">
        <v>570</v>
      </c>
      <c r="H2" s="5" t="s">
        <v>571</v>
      </c>
      <c r="I2" s="5" t="s">
        <v>572</v>
      </c>
    </row>
    <row r="3" customFormat="false" ht="15" hidden="false" customHeight="false" outlineLevel="0" collapsed="false">
      <c r="A3" s="5" t="s">
        <v>573</v>
      </c>
      <c r="B3" s="5" t="s">
        <v>565</v>
      </c>
      <c r="C3" s="5" t="s">
        <v>574</v>
      </c>
      <c r="D3" s="5" t="s">
        <v>575</v>
      </c>
      <c r="E3" s="5" t="s">
        <v>576</v>
      </c>
      <c r="F3" s="5" t="s">
        <v>577</v>
      </c>
      <c r="G3" s="5" t="s">
        <v>578</v>
      </c>
      <c r="H3" s="5" t="s">
        <v>579</v>
      </c>
      <c r="I3" s="5" t="s">
        <v>580</v>
      </c>
    </row>
    <row r="4" customFormat="false" ht="15" hidden="false" customHeight="false" outlineLevel="0" collapsed="false">
      <c r="A4" s="5" t="s">
        <v>3</v>
      </c>
      <c r="B4" s="5" t="s">
        <v>565</v>
      </c>
      <c r="C4" s="5" t="s">
        <v>581</v>
      </c>
      <c r="D4" s="5" t="s">
        <v>582</v>
      </c>
      <c r="E4" s="5" t="s">
        <v>576</v>
      </c>
      <c r="F4" s="5" t="s">
        <v>583</v>
      </c>
      <c r="G4" s="5" t="s">
        <v>578</v>
      </c>
      <c r="H4" s="5" t="s">
        <v>579</v>
      </c>
      <c r="I4" s="5" t="s">
        <v>584</v>
      </c>
    </row>
    <row r="5" customFormat="false" ht="15" hidden="false" customHeight="false" outlineLevel="0" collapsed="false">
      <c r="A5" s="5" t="s">
        <v>4</v>
      </c>
      <c r="B5" s="5" t="s">
        <v>565</v>
      </c>
      <c r="C5" s="5" t="s">
        <v>585</v>
      </c>
      <c r="D5" s="5" t="s">
        <v>567</v>
      </c>
      <c r="E5" s="5" t="s">
        <v>568</v>
      </c>
      <c r="F5" s="5" t="s">
        <v>586</v>
      </c>
      <c r="G5" s="5" t="s">
        <v>587</v>
      </c>
      <c r="H5" s="5" t="s">
        <v>588</v>
      </c>
      <c r="I5" s="5" t="s">
        <v>589</v>
      </c>
    </row>
    <row r="6" customFormat="false" ht="15" hidden="false" customHeight="false" outlineLevel="0" collapsed="false">
      <c r="A6" s="5" t="s">
        <v>590</v>
      </c>
      <c r="B6" s="5" t="s">
        <v>565</v>
      </c>
      <c r="C6" s="5" t="s">
        <v>591</v>
      </c>
      <c r="D6" s="5" t="s">
        <v>567</v>
      </c>
      <c r="E6" s="5" t="s">
        <v>592</v>
      </c>
      <c r="F6" s="5" t="s">
        <v>593</v>
      </c>
      <c r="G6" s="5" t="s">
        <v>594</v>
      </c>
      <c r="H6" s="5" t="s">
        <v>579</v>
      </c>
      <c r="I6" s="5" t="s">
        <v>595</v>
      </c>
    </row>
    <row r="7" customFormat="false" ht="15" hidden="false" customHeight="false" outlineLevel="0" collapsed="false">
      <c r="A7" s="5" t="s">
        <v>8</v>
      </c>
      <c r="B7" s="5" t="s">
        <v>565</v>
      </c>
      <c r="C7" s="5" t="s">
        <v>596</v>
      </c>
      <c r="D7" s="5" t="s">
        <v>597</v>
      </c>
      <c r="E7" s="5" t="s">
        <v>598</v>
      </c>
      <c r="F7" s="5" t="s">
        <v>599</v>
      </c>
      <c r="G7" s="5" t="s">
        <v>600</v>
      </c>
      <c r="H7" s="5" t="s">
        <v>601</v>
      </c>
      <c r="I7" s="5" t="s">
        <v>602</v>
      </c>
    </row>
    <row r="8" customFormat="false" ht="15" hidden="false" customHeight="false" outlineLevel="0" collapsed="false">
      <c r="A8" s="5" t="s">
        <v>9</v>
      </c>
      <c r="B8" s="5" t="s">
        <v>565</v>
      </c>
      <c r="C8" s="5" t="s">
        <v>603</v>
      </c>
      <c r="D8" s="5" t="s">
        <v>567</v>
      </c>
      <c r="E8" s="5" t="s">
        <v>604</v>
      </c>
      <c r="F8" s="5" t="s">
        <v>567</v>
      </c>
      <c r="G8" s="5" t="s">
        <v>605</v>
      </c>
      <c r="H8" s="5" t="s">
        <v>606</v>
      </c>
      <c r="I8" s="5" t="s">
        <v>607</v>
      </c>
    </row>
    <row r="9" customFormat="false" ht="15" hidden="false" customHeight="false" outlineLevel="0" collapsed="false">
      <c r="A9" s="5" t="s">
        <v>10</v>
      </c>
      <c r="B9" s="5" t="s">
        <v>565</v>
      </c>
      <c r="C9" s="5" t="s">
        <v>608</v>
      </c>
      <c r="D9" s="5" t="s">
        <v>609</v>
      </c>
      <c r="E9" s="5" t="s">
        <v>576</v>
      </c>
      <c r="F9" s="5" t="s">
        <v>610</v>
      </c>
      <c r="G9" s="5" t="s">
        <v>611</v>
      </c>
      <c r="H9" s="5" t="s">
        <v>612</v>
      </c>
      <c r="I9" s="5" t="s">
        <v>613</v>
      </c>
    </row>
    <row r="10" customFormat="false" ht="15" hidden="false" customHeight="false" outlineLevel="0" collapsed="false">
      <c r="A10" s="5" t="s">
        <v>11</v>
      </c>
      <c r="B10" s="5" t="s">
        <v>565</v>
      </c>
      <c r="C10" s="5" t="s">
        <v>614</v>
      </c>
      <c r="D10" s="5" t="s">
        <v>615</v>
      </c>
      <c r="E10" s="5" t="s">
        <v>576</v>
      </c>
      <c r="F10" s="5" t="s">
        <v>616</v>
      </c>
      <c r="G10" s="5" t="s">
        <v>617</v>
      </c>
      <c r="H10" s="5" t="s">
        <v>618</v>
      </c>
      <c r="I10" s="5" t="s">
        <v>619</v>
      </c>
    </row>
    <row r="11" customFormat="false" ht="15" hidden="false" customHeight="false" outlineLevel="0" collapsed="false">
      <c r="A11" s="5" t="s">
        <v>620</v>
      </c>
      <c r="B11" s="5" t="s">
        <v>565</v>
      </c>
      <c r="C11" s="5" t="s">
        <v>621</v>
      </c>
      <c r="D11" s="5" t="s">
        <v>622</v>
      </c>
      <c r="E11" s="5" t="s">
        <v>623</v>
      </c>
      <c r="F11" s="5" t="s">
        <v>624</v>
      </c>
      <c r="G11" s="5" t="s">
        <v>617</v>
      </c>
      <c r="H11" s="5" t="s">
        <v>625</v>
      </c>
      <c r="I11" s="5" t="s">
        <v>626</v>
      </c>
    </row>
    <row r="12" customFormat="false" ht="15" hidden="false" customHeight="false" outlineLevel="0" collapsed="false">
      <c r="A12" s="5" t="s">
        <v>14</v>
      </c>
      <c r="B12" s="5" t="s">
        <v>565</v>
      </c>
      <c r="C12" s="5" t="s">
        <v>627</v>
      </c>
      <c r="D12" s="5" t="s">
        <v>628</v>
      </c>
      <c r="E12" s="5" t="s">
        <v>576</v>
      </c>
      <c r="F12" s="5" t="s">
        <v>629</v>
      </c>
      <c r="G12" s="5" t="s">
        <v>630</v>
      </c>
      <c r="H12" s="5" t="s">
        <v>631</v>
      </c>
      <c r="I12" s="5" t="s">
        <v>632</v>
      </c>
    </row>
    <row r="13" customFormat="false" ht="15" hidden="false" customHeight="false" outlineLevel="0" collapsed="false">
      <c r="A13" s="5" t="s">
        <v>15</v>
      </c>
      <c r="B13" s="5" t="s">
        <v>565</v>
      </c>
      <c r="C13" s="5" t="s">
        <v>633</v>
      </c>
      <c r="D13" s="5" t="s">
        <v>634</v>
      </c>
      <c r="E13" s="5" t="s">
        <v>635</v>
      </c>
      <c r="F13" s="5" t="s">
        <v>636</v>
      </c>
      <c r="G13" s="5" t="s">
        <v>637</v>
      </c>
      <c r="H13" s="5" t="s">
        <v>638</v>
      </c>
      <c r="I13" s="5" t="s">
        <v>639</v>
      </c>
    </row>
    <row r="14" customFormat="false" ht="15" hidden="false" customHeight="false" outlineLevel="0" collapsed="false">
      <c r="A14" s="5" t="s">
        <v>16</v>
      </c>
      <c r="B14" s="5" t="s">
        <v>565</v>
      </c>
      <c r="C14" s="5" t="s">
        <v>640</v>
      </c>
      <c r="D14" s="5" t="s">
        <v>641</v>
      </c>
      <c r="E14" s="5" t="s">
        <v>576</v>
      </c>
      <c r="F14" s="5" t="s">
        <v>642</v>
      </c>
      <c r="G14" s="5" t="s">
        <v>643</v>
      </c>
      <c r="H14" s="5" t="s">
        <v>625</v>
      </c>
      <c r="I14" s="5" t="s">
        <v>644</v>
      </c>
    </row>
    <row r="15" customFormat="false" ht="15" hidden="false" customHeight="false" outlineLevel="0" collapsed="false">
      <c r="A15" s="5" t="s">
        <v>18</v>
      </c>
      <c r="B15" s="5" t="s">
        <v>565</v>
      </c>
      <c r="C15" s="5" t="s">
        <v>645</v>
      </c>
      <c r="D15" s="5" t="s">
        <v>646</v>
      </c>
      <c r="E15" s="5" t="s">
        <v>635</v>
      </c>
      <c r="F15" s="5" t="s">
        <v>647</v>
      </c>
      <c r="G15" s="5" t="s">
        <v>648</v>
      </c>
      <c r="H15" s="5" t="s">
        <v>649</v>
      </c>
      <c r="I15" s="5" t="s">
        <v>650</v>
      </c>
    </row>
    <row r="16" customFormat="false" ht="15" hidden="false" customHeight="false" outlineLevel="0" collapsed="false">
      <c r="A16" s="5" t="s">
        <v>651</v>
      </c>
      <c r="B16" s="5" t="s">
        <v>652</v>
      </c>
      <c r="C16" s="5" t="s">
        <v>653</v>
      </c>
      <c r="D16" s="5" t="s">
        <v>567</v>
      </c>
      <c r="E16" s="5" t="s">
        <v>568</v>
      </c>
      <c r="F16" s="5" t="s">
        <v>654</v>
      </c>
      <c r="G16" s="5" t="s">
        <v>655</v>
      </c>
      <c r="H16" s="5" t="s">
        <v>656</v>
      </c>
      <c r="I16" s="5" t="s">
        <v>657</v>
      </c>
    </row>
    <row r="17" customFormat="false" ht="15" hidden="false" customHeight="false" outlineLevel="0" collapsed="false">
      <c r="A17" s="5" t="s">
        <v>72</v>
      </c>
      <c r="B17" s="5" t="s">
        <v>652</v>
      </c>
      <c r="C17" s="5" t="s">
        <v>658</v>
      </c>
      <c r="D17" s="5" t="s">
        <v>659</v>
      </c>
      <c r="E17" s="5" t="s">
        <v>576</v>
      </c>
      <c r="F17" s="5" t="s">
        <v>660</v>
      </c>
      <c r="G17" s="5" t="s">
        <v>661</v>
      </c>
      <c r="H17" s="5" t="s">
        <v>662</v>
      </c>
      <c r="I17" s="5" t="s">
        <v>663</v>
      </c>
    </row>
    <row r="18" customFormat="false" ht="15" hidden="false" customHeight="false" outlineLevel="0" collapsed="false">
      <c r="A18" s="5" t="s">
        <v>664</v>
      </c>
      <c r="B18" s="5" t="s">
        <v>652</v>
      </c>
      <c r="C18" s="5" t="s">
        <v>665</v>
      </c>
      <c r="D18" s="5" t="s">
        <v>666</v>
      </c>
      <c r="E18" s="5" t="s">
        <v>576</v>
      </c>
      <c r="F18" s="5" t="s">
        <v>667</v>
      </c>
      <c r="G18" s="5" t="s">
        <v>661</v>
      </c>
      <c r="H18" s="5" t="s">
        <v>662</v>
      </c>
      <c r="I18" s="5" t="s">
        <v>668</v>
      </c>
    </row>
    <row r="19" customFormat="false" ht="15" hidden="false" customHeight="false" outlineLevel="0" collapsed="false">
      <c r="A19" s="5" t="s">
        <v>75</v>
      </c>
      <c r="B19" s="5" t="s">
        <v>652</v>
      </c>
      <c r="C19" s="5" t="s">
        <v>669</v>
      </c>
      <c r="D19" s="5" t="s">
        <v>670</v>
      </c>
      <c r="E19" s="5" t="s">
        <v>576</v>
      </c>
      <c r="F19" s="5" t="s">
        <v>671</v>
      </c>
      <c r="G19" s="5" t="s">
        <v>661</v>
      </c>
      <c r="H19" s="5" t="s">
        <v>672</v>
      </c>
      <c r="I19" s="5" t="s">
        <v>673</v>
      </c>
    </row>
    <row r="20" customFormat="false" ht="15" hidden="false" customHeight="false" outlineLevel="0" collapsed="false">
      <c r="A20" s="5" t="s">
        <v>674</v>
      </c>
      <c r="B20" s="5" t="s">
        <v>652</v>
      </c>
      <c r="C20" s="5" t="s">
        <v>675</v>
      </c>
      <c r="D20" s="5" t="s">
        <v>641</v>
      </c>
      <c r="E20" s="5" t="s">
        <v>676</v>
      </c>
      <c r="F20" s="5" t="s">
        <v>677</v>
      </c>
      <c r="G20" s="5" t="s">
        <v>678</v>
      </c>
      <c r="H20" s="5" t="s">
        <v>679</v>
      </c>
      <c r="I20" s="5" t="s">
        <v>680</v>
      </c>
    </row>
    <row r="21" customFormat="false" ht="15" hidden="false" customHeight="false" outlineLevel="0" collapsed="false">
      <c r="A21" s="5" t="s">
        <v>79</v>
      </c>
      <c r="B21" s="5" t="s">
        <v>652</v>
      </c>
      <c r="C21" s="5" t="s">
        <v>681</v>
      </c>
      <c r="D21" s="5" t="s">
        <v>682</v>
      </c>
      <c r="E21" s="5" t="s">
        <v>635</v>
      </c>
      <c r="F21" s="5" t="s">
        <v>683</v>
      </c>
      <c r="G21" s="5" t="s">
        <v>605</v>
      </c>
      <c r="H21" s="5" t="s">
        <v>638</v>
      </c>
      <c r="I21" s="5" t="s">
        <v>684</v>
      </c>
    </row>
    <row r="22" customFormat="false" ht="15" hidden="false" customHeight="false" outlineLevel="0" collapsed="false">
      <c r="A22" s="5" t="s">
        <v>685</v>
      </c>
      <c r="B22" s="5" t="s">
        <v>652</v>
      </c>
      <c r="C22" s="5" t="s">
        <v>686</v>
      </c>
      <c r="D22" s="5" t="s">
        <v>567</v>
      </c>
      <c r="E22" s="5" t="s">
        <v>687</v>
      </c>
      <c r="F22" s="5" t="s">
        <v>567</v>
      </c>
      <c r="G22" s="5" t="s">
        <v>688</v>
      </c>
      <c r="H22" s="5" t="s">
        <v>689</v>
      </c>
      <c r="I22" s="5" t="s">
        <v>690</v>
      </c>
    </row>
    <row r="23" customFormat="false" ht="15" hidden="false" customHeight="false" outlineLevel="0" collapsed="false">
      <c r="A23" s="5" t="s">
        <v>82</v>
      </c>
      <c r="B23" s="5" t="s">
        <v>652</v>
      </c>
      <c r="C23" s="5" t="s">
        <v>691</v>
      </c>
      <c r="D23" s="5" t="s">
        <v>567</v>
      </c>
      <c r="E23" s="5" t="s">
        <v>635</v>
      </c>
      <c r="F23" s="5" t="s">
        <v>567</v>
      </c>
      <c r="G23" s="5" t="s">
        <v>605</v>
      </c>
      <c r="H23" s="5" t="s">
        <v>606</v>
      </c>
      <c r="I23" s="5" t="s">
        <v>692</v>
      </c>
    </row>
    <row r="24" customFormat="false" ht="15" hidden="false" customHeight="false" outlineLevel="0" collapsed="false">
      <c r="A24" s="5" t="s">
        <v>693</v>
      </c>
      <c r="B24" s="5" t="s">
        <v>652</v>
      </c>
      <c r="C24" s="5" t="s">
        <v>694</v>
      </c>
      <c r="D24" s="5" t="s">
        <v>567</v>
      </c>
      <c r="E24" s="5" t="s">
        <v>695</v>
      </c>
      <c r="F24" s="5" t="s">
        <v>567</v>
      </c>
      <c r="G24" s="5" t="s">
        <v>696</v>
      </c>
      <c r="H24" s="5" t="s">
        <v>689</v>
      </c>
      <c r="I24" s="5" t="s">
        <v>697</v>
      </c>
    </row>
    <row r="25" customFormat="false" ht="15" hidden="false" customHeight="false" outlineLevel="0" collapsed="false">
      <c r="A25" s="5" t="s">
        <v>698</v>
      </c>
      <c r="B25" s="5" t="s">
        <v>652</v>
      </c>
      <c r="C25" s="5" t="s">
        <v>699</v>
      </c>
      <c r="D25" s="5" t="s">
        <v>567</v>
      </c>
      <c r="E25" s="5" t="s">
        <v>568</v>
      </c>
      <c r="F25" s="5" t="s">
        <v>567</v>
      </c>
      <c r="G25" s="5" t="s">
        <v>700</v>
      </c>
      <c r="H25" s="5" t="s">
        <v>701</v>
      </c>
      <c r="I25" s="5" t="s">
        <v>702</v>
      </c>
    </row>
    <row r="26" customFormat="false" ht="15" hidden="false" customHeight="false" outlineLevel="0" collapsed="false">
      <c r="A26" s="5" t="s">
        <v>703</v>
      </c>
      <c r="B26" s="5" t="s">
        <v>704</v>
      </c>
      <c r="C26" s="5" t="s">
        <v>705</v>
      </c>
      <c r="D26" s="5" t="s">
        <v>567</v>
      </c>
      <c r="E26" s="5" t="s">
        <v>568</v>
      </c>
      <c r="F26" s="5" t="s">
        <v>706</v>
      </c>
      <c r="G26" s="5" t="s">
        <v>707</v>
      </c>
      <c r="H26" s="5" t="s">
        <v>708</v>
      </c>
      <c r="I26" s="5" t="s">
        <v>709</v>
      </c>
    </row>
    <row r="27" customFormat="false" ht="15" hidden="false" customHeight="false" outlineLevel="0" collapsed="false">
      <c r="A27" s="5" t="s">
        <v>710</v>
      </c>
      <c r="B27" s="5" t="s">
        <v>704</v>
      </c>
      <c r="C27" s="5" t="s">
        <v>711</v>
      </c>
      <c r="D27" s="5" t="s">
        <v>582</v>
      </c>
      <c r="E27" s="5" t="s">
        <v>576</v>
      </c>
      <c r="F27" s="5" t="s">
        <v>712</v>
      </c>
      <c r="G27" s="5" t="s">
        <v>713</v>
      </c>
      <c r="H27" s="5" t="s">
        <v>601</v>
      </c>
      <c r="I27" s="5" t="s">
        <v>714</v>
      </c>
    </row>
    <row r="28" customFormat="false" ht="15" hidden="false" customHeight="false" outlineLevel="0" collapsed="false">
      <c r="A28" s="5" t="s">
        <v>715</v>
      </c>
      <c r="B28" s="5" t="s">
        <v>704</v>
      </c>
      <c r="C28" s="5" t="s">
        <v>716</v>
      </c>
      <c r="D28" s="5" t="s">
        <v>717</v>
      </c>
      <c r="E28" s="5" t="s">
        <v>635</v>
      </c>
      <c r="F28" s="5" t="s">
        <v>718</v>
      </c>
      <c r="G28" s="5" t="s">
        <v>605</v>
      </c>
      <c r="H28" s="5" t="s">
        <v>606</v>
      </c>
      <c r="I28" s="5" t="s">
        <v>719</v>
      </c>
    </row>
    <row r="29" customFormat="false" ht="15" hidden="false" customHeight="false" outlineLevel="0" collapsed="false">
      <c r="A29" s="5" t="s">
        <v>200</v>
      </c>
      <c r="B29" s="5" t="s">
        <v>704</v>
      </c>
      <c r="C29" s="5" t="s">
        <v>720</v>
      </c>
      <c r="D29" s="5" t="s">
        <v>567</v>
      </c>
      <c r="E29" s="5" t="s">
        <v>568</v>
      </c>
      <c r="F29" s="5" t="s">
        <v>567</v>
      </c>
      <c r="G29" s="5" t="s">
        <v>721</v>
      </c>
      <c r="H29" s="5" t="s">
        <v>601</v>
      </c>
      <c r="I29" s="5" t="s">
        <v>722</v>
      </c>
    </row>
    <row r="30" customFormat="false" ht="15" hidden="false" customHeight="false" outlineLevel="0" collapsed="false">
      <c r="A30" s="5" t="s">
        <v>723</v>
      </c>
      <c r="B30" s="5" t="s">
        <v>704</v>
      </c>
      <c r="C30" s="5" t="s">
        <v>724</v>
      </c>
      <c r="D30" s="5" t="s">
        <v>567</v>
      </c>
      <c r="E30" s="5" t="s">
        <v>725</v>
      </c>
      <c r="F30" s="5" t="s">
        <v>726</v>
      </c>
      <c r="G30" s="5" t="s">
        <v>727</v>
      </c>
      <c r="H30" s="5" t="s">
        <v>728</v>
      </c>
      <c r="I30" s="5" t="s">
        <v>729</v>
      </c>
    </row>
    <row r="31" customFormat="false" ht="15" hidden="false" customHeight="false" outlineLevel="0" collapsed="false">
      <c r="A31" s="5" t="s">
        <v>730</v>
      </c>
      <c r="B31" s="5" t="s">
        <v>704</v>
      </c>
      <c r="C31" s="5" t="s">
        <v>731</v>
      </c>
      <c r="D31" s="5" t="s">
        <v>641</v>
      </c>
      <c r="E31" s="5" t="s">
        <v>576</v>
      </c>
      <c r="F31" s="5" t="s">
        <v>732</v>
      </c>
      <c r="G31" s="5" t="s">
        <v>733</v>
      </c>
      <c r="H31" s="5" t="s">
        <v>601</v>
      </c>
      <c r="I31" s="5" t="s">
        <v>734</v>
      </c>
    </row>
    <row r="32" customFormat="false" ht="15" hidden="false" customHeight="false" outlineLevel="0" collapsed="false">
      <c r="A32" s="5" t="s">
        <v>208</v>
      </c>
      <c r="B32" s="5" t="s">
        <v>704</v>
      </c>
      <c r="C32" s="5" t="s">
        <v>735</v>
      </c>
      <c r="D32" s="5" t="s">
        <v>736</v>
      </c>
      <c r="E32" s="5" t="s">
        <v>576</v>
      </c>
      <c r="F32" s="5" t="s">
        <v>737</v>
      </c>
      <c r="G32" s="5" t="s">
        <v>727</v>
      </c>
      <c r="H32" s="5" t="s">
        <v>601</v>
      </c>
      <c r="I32" s="5" t="s">
        <v>738</v>
      </c>
    </row>
    <row r="33" customFormat="false" ht="15" hidden="false" customHeight="false" outlineLevel="0" collapsed="false">
      <c r="A33" s="5" t="s">
        <v>739</v>
      </c>
      <c r="B33" s="5" t="s">
        <v>704</v>
      </c>
      <c r="C33" s="5" t="s">
        <v>740</v>
      </c>
      <c r="D33" s="5" t="s">
        <v>741</v>
      </c>
      <c r="E33" s="5" t="s">
        <v>635</v>
      </c>
      <c r="F33" s="5" t="s">
        <v>567</v>
      </c>
      <c r="G33" s="5" t="s">
        <v>605</v>
      </c>
      <c r="H33" s="5" t="s">
        <v>606</v>
      </c>
      <c r="I33" s="5" t="s">
        <v>742</v>
      </c>
    </row>
    <row r="34" customFormat="false" ht="15" hidden="false" customHeight="false" outlineLevel="0" collapsed="false">
      <c r="A34" s="5" t="s">
        <v>743</v>
      </c>
      <c r="B34" s="5" t="s">
        <v>704</v>
      </c>
      <c r="C34" s="5" t="s">
        <v>744</v>
      </c>
      <c r="D34" s="5" t="s">
        <v>567</v>
      </c>
      <c r="E34" s="5" t="s">
        <v>745</v>
      </c>
      <c r="F34" s="5" t="s">
        <v>746</v>
      </c>
      <c r="G34" s="5" t="s">
        <v>747</v>
      </c>
      <c r="H34" s="5" t="s">
        <v>601</v>
      </c>
      <c r="I34" s="5" t="s">
        <v>748</v>
      </c>
    </row>
    <row r="35" customFormat="false" ht="15" hidden="false" customHeight="false" outlineLevel="0" collapsed="false">
      <c r="A35" s="5" t="s">
        <v>749</v>
      </c>
      <c r="B35" s="5" t="s">
        <v>704</v>
      </c>
      <c r="C35" s="5" t="s">
        <v>750</v>
      </c>
      <c r="D35" s="5" t="s">
        <v>567</v>
      </c>
      <c r="E35" s="5" t="s">
        <v>623</v>
      </c>
      <c r="F35" s="5" t="s">
        <v>751</v>
      </c>
      <c r="G35" s="5" t="s">
        <v>752</v>
      </c>
      <c r="H35" s="5" t="s">
        <v>601</v>
      </c>
      <c r="I35" s="5" t="s">
        <v>753</v>
      </c>
    </row>
    <row r="36" customFormat="false" ht="15" hidden="false" customHeight="false" outlineLevel="0" collapsed="false">
      <c r="A36" s="5" t="s">
        <v>220</v>
      </c>
      <c r="B36" s="5" t="s">
        <v>704</v>
      </c>
      <c r="C36" s="5" t="s">
        <v>754</v>
      </c>
      <c r="D36" s="5" t="s">
        <v>755</v>
      </c>
      <c r="E36" s="5" t="s">
        <v>576</v>
      </c>
      <c r="F36" s="5" t="s">
        <v>756</v>
      </c>
      <c r="G36" s="5" t="s">
        <v>727</v>
      </c>
      <c r="H36" s="5" t="s">
        <v>601</v>
      </c>
      <c r="I36" s="5" t="s">
        <v>757</v>
      </c>
    </row>
    <row r="37" customFormat="false" ht="15" hidden="false" customHeight="false" outlineLevel="0" collapsed="false">
      <c r="A37" s="5" t="s">
        <v>758</v>
      </c>
      <c r="B37" s="5" t="s">
        <v>759</v>
      </c>
      <c r="C37" s="5" t="s">
        <v>760</v>
      </c>
      <c r="D37" s="5" t="s">
        <v>567</v>
      </c>
      <c r="E37" s="5" t="s">
        <v>568</v>
      </c>
      <c r="F37" s="5" t="s">
        <v>761</v>
      </c>
      <c r="G37" s="5" t="s">
        <v>762</v>
      </c>
      <c r="H37" s="5" t="s">
        <v>601</v>
      </c>
      <c r="I37" s="5" t="s">
        <v>763</v>
      </c>
    </row>
    <row r="38" customFormat="false" ht="15" hidden="false" customHeight="false" outlineLevel="0" collapsed="false">
      <c r="A38" s="5" t="s">
        <v>764</v>
      </c>
      <c r="B38" s="5" t="s">
        <v>759</v>
      </c>
      <c r="C38" s="5" t="s">
        <v>765</v>
      </c>
      <c r="D38" s="5" t="s">
        <v>567</v>
      </c>
      <c r="E38" s="5" t="s">
        <v>635</v>
      </c>
      <c r="F38" s="5" t="s">
        <v>567</v>
      </c>
      <c r="G38" s="5" t="s">
        <v>766</v>
      </c>
      <c r="H38" s="5" t="s">
        <v>767</v>
      </c>
      <c r="I38" s="5" t="s">
        <v>768</v>
      </c>
    </row>
    <row r="39" customFormat="false" ht="15" hidden="false" customHeight="false" outlineLevel="0" collapsed="false">
      <c r="A39" s="5" t="s">
        <v>769</v>
      </c>
      <c r="B39" s="5" t="s">
        <v>759</v>
      </c>
      <c r="C39" s="5" t="s">
        <v>770</v>
      </c>
      <c r="D39" s="5" t="s">
        <v>682</v>
      </c>
      <c r="E39" s="5" t="s">
        <v>635</v>
      </c>
      <c r="F39" s="5" t="s">
        <v>567</v>
      </c>
      <c r="G39" s="5" t="s">
        <v>771</v>
      </c>
      <c r="H39" s="5" t="s">
        <v>606</v>
      </c>
      <c r="I39" s="5" t="s">
        <v>772</v>
      </c>
    </row>
    <row r="40" customFormat="false" ht="15" hidden="false" customHeight="false" outlineLevel="0" collapsed="false">
      <c r="A40" s="5" t="s">
        <v>301</v>
      </c>
      <c r="B40" s="5" t="s">
        <v>759</v>
      </c>
      <c r="C40" s="5" t="s">
        <v>773</v>
      </c>
      <c r="D40" s="5" t="s">
        <v>774</v>
      </c>
      <c r="E40" s="5" t="s">
        <v>635</v>
      </c>
      <c r="F40" s="5" t="s">
        <v>567</v>
      </c>
      <c r="G40" s="5" t="s">
        <v>605</v>
      </c>
      <c r="H40" s="5" t="s">
        <v>606</v>
      </c>
      <c r="I40" s="5" t="s">
        <v>775</v>
      </c>
    </row>
    <row r="41" customFormat="false" ht="15" hidden="false" customHeight="false" outlineLevel="0" collapsed="false">
      <c r="A41" s="5" t="s">
        <v>776</v>
      </c>
      <c r="B41" s="5" t="s">
        <v>777</v>
      </c>
      <c r="C41" s="5" t="s">
        <v>778</v>
      </c>
      <c r="D41" s="5" t="s">
        <v>567</v>
      </c>
      <c r="E41" s="5" t="s">
        <v>635</v>
      </c>
      <c r="F41" s="5" t="s">
        <v>567</v>
      </c>
      <c r="G41" s="5" t="s">
        <v>605</v>
      </c>
      <c r="H41" s="5" t="s">
        <v>606</v>
      </c>
      <c r="I41" s="5" t="s">
        <v>779</v>
      </c>
    </row>
    <row r="42" customFormat="false" ht="15" hidden="false" customHeight="false" outlineLevel="0" collapsed="false">
      <c r="A42" s="5" t="s">
        <v>780</v>
      </c>
      <c r="B42" s="5" t="s">
        <v>777</v>
      </c>
      <c r="C42" s="5" t="s">
        <v>781</v>
      </c>
      <c r="D42" s="5" t="s">
        <v>782</v>
      </c>
      <c r="E42" s="5" t="s">
        <v>635</v>
      </c>
      <c r="F42" s="5" t="s">
        <v>567</v>
      </c>
      <c r="G42" s="5" t="s">
        <v>783</v>
      </c>
      <c r="H42" s="5" t="s">
        <v>784</v>
      </c>
      <c r="I42" s="5" t="s">
        <v>785</v>
      </c>
    </row>
    <row r="43" customFormat="false" ht="15" hidden="false" customHeight="false" outlineLevel="0" collapsed="false">
      <c r="A43" s="5" t="s">
        <v>786</v>
      </c>
      <c r="B43" s="5" t="s">
        <v>777</v>
      </c>
      <c r="C43" s="5" t="s">
        <v>787</v>
      </c>
      <c r="D43" s="5" t="s">
        <v>788</v>
      </c>
      <c r="E43" s="5" t="s">
        <v>635</v>
      </c>
      <c r="F43" s="5" t="s">
        <v>567</v>
      </c>
      <c r="G43" s="5" t="s">
        <v>789</v>
      </c>
      <c r="H43" s="5" t="s">
        <v>790</v>
      </c>
      <c r="I43" s="5" t="s">
        <v>791</v>
      </c>
    </row>
    <row r="44" customFormat="false" ht="15" hidden="false" customHeight="false" outlineLevel="0" collapsed="false">
      <c r="A44" s="5" t="s">
        <v>792</v>
      </c>
      <c r="B44" s="5" t="s">
        <v>777</v>
      </c>
      <c r="C44" s="5" t="s">
        <v>793</v>
      </c>
      <c r="D44" s="5" t="s">
        <v>794</v>
      </c>
      <c r="E44" s="5" t="s">
        <v>635</v>
      </c>
      <c r="F44" s="5" t="s">
        <v>567</v>
      </c>
      <c r="G44" s="5" t="s">
        <v>795</v>
      </c>
      <c r="H44" s="5" t="s">
        <v>796</v>
      </c>
      <c r="I44" s="5" t="s">
        <v>797</v>
      </c>
    </row>
    <row r="45" customFormat="false" ht="15" hidden="false" customHeight="false" outlineLevel="0" collapsed="false">
      <c r="A45" s="5" t="s">
        <v>539</v>
      </c>
      <c r="B45" s="5" t="s">
        <v>777</v>
      </c>
      <c r="C45" s="5" t="s">
        <v>798</v>
      </c>
      <c r="D45" s="5" t="s">
        <v>609</v>
      </c>
      <c r="E45" s="5" t="s">
        <v>635</v>
      </c>
      <c r="F45" s="5" t="s">
        <v>567</v>
      </c>
      <c r="G45" s="5" t="s">
        <v>799</v>
      </c>
      <c r="H45" s="5" t="s">
        <v>800</v>
      </c>
      <c r="I45" s="5" t="s">
        <v>801</v>
      </c>
    </row>
    <row r="46" customFormat="false" ht="15" hidden="false" customHeight="false" outlineLevel="0" collapsed="false">
      <c r="A46" s="5" t="s">
        <v>802</v>
      </c>
      <c r="B46" s="5" t="s">
        <v>777</v>
      </c>
      <c r="C46" s="5" t="s">
        <v>803</v>
      </c>
      <c r="D46" s="5" t="s">
        <v>804</v>
      </c>
      <c r="E46" s="5" t="s">
        <v>635</v>
      </c>
      <c r="F46" s="5" t="s">
        <v>567</v>
      </c>
      <c r="G46" s="5" t="s">
        <v>605</v>
      </c>
      <c r="H46" s="5" t="s">
        <v>790</v>
      </c>
      <c r="I46" s="5" t="s">
        <v>805</v>
      </c>
    </row>
    <row r="47" customFormat="false" ht="15" hidden="false" customHeight="false" outlineLevel="0" collapsed="false">
      <c r="A47" s="5" t="s">
        <v>542</v>
      </c>
      <c r="B47" s="5" t="s">
        <v>777</v>
      </c>
      <c r="C47" s="5" t="s">
        <v>806</v>
      </c>
      <c r="D47" s="5" t="s">
        <v>609</v>
      </c>
      <c r="E47" s="5" t="s">
        <v>635</v>
      </c>
      <c r="F47" s="5" t="s">
        <v>567</v>
      </c>
      <c r="G47" s="5" t="s">
        <v>807</v>
      </c>
      <c r="H47" s="5" t="s">
        <v>808</v>
      </c>
      <c r="I47" s="5" t="s">
        <v>809</v>
      </c>
    </row>
    <row r="48" customFormat="false" ht="15" hidden="false" customHeight="false" outlineLevel="0" collapsed="false">
      <c r="A48" s="5" t="s">
        <v>810</v>
      </c>
      <c r="B48" s="5" t="s">
        <v>777</v>
      </c>
      <c r="C48" s="5" t="s">
        <v>811</v>
      </c>
      <c r="D48" s="5" t="s">
        <v>812</v>
      </c>
      <c r="E48" s="5" t="s">
        <v>635</v>
      </c>
      <c r="F48" s="5" t="s">
        <v>567</v>
      </c>
      <c r="G48" s="5" t="s">
        <v>813</v>
      </c>
      <c r="H48" s="5" t="s">
        <v>790</v>
      </c>
      <c r="I48" s="5" t="s">
        <v>814</v>
      </c>
    </row>
    <row r="49" customFormat="false" ht="15" hidden="false" customHeight="false" outlineLevel="0" collapsed="false">
      <c r="A49" s="5" t="s">
        <v>815</v>
      </c>
      <c r="B49" s="5" t="s">
        <v>777</v>
      </c>
      <c r="C49" s="5" t="s">
        <v>816</v>
      </c>
      <c r="D49" s="5" t="s">
        <v>817</v>
      </c>
      <c r="E49" s="5" t="s">
        <v>635</v>
      </c>
      <c r="F49" s="5" t="s">
        <v>818</v>
      </c>
      <c r="G49" s="5" t="s">
        <v>819</v>
      </c>
      <c r="H49" s="5" t="s">
        <v>820</v>
      </c>
      <c r="I49" s="5" t="s">
        <v>821</v>
      </c>
    </row>
    <row r="50" customFormat="false" ht="15" hidden="false" customHeight="false" outlineLevel="0" collapsed="false">
      <c r="A50" s="5" t="s">
        <v>822</v>
      </c>
      <c r="B50" s="5" t="s">
        <v>777</v>
      </c>
      <c r="C50" s="5" t="s">
        <v>823</v>
      </c>
      <c r="D50" s="5" t="s">
        <v>32</v>
      </c>
      <c r="E50" s="5" t="s">
        <v>635</v>
      </c>
      <c r="F50" s="5" t="s">
        <v>567</v>
      </c>
      <c r="G50" s="5" t="s">
        <v>605</v>
      </c>
      <c r="H50" s="5" t="s">
        <v>824</v>
      </c>
      <c r="I50" s="5" t="s">
        <v>825</v>
      </c>
    </row>
    <row r="51" customFormat="false" ht="15" hidden="false" customHeight="false" outlineLevel="0" collapsed="false">
      <c r="A51" s="5" t="s">
        <v>826</v>
      </c>
      <c r="B51" s="5" t="s">
        <v>777</v>
      </c>
      <c r="C51" s="5" t="s">
        <v>827</v>
      </c>
      <c r="D51" s="5" t="s">
        <v>828</v>
      </c>
      <c r="E51" s="5" t="s">
        <v>635</v>
      </c>
      <c r="F51" s="5" t="s">
        <v>567</v>
      </c>
      <c r="G51" s="5" t="s">
        <v>829</v>
      </c>
      <c r="H51" s="5" t="s">
        <v>790</v>
      </c>
      <c r="I51" s="5" t="s">
        <v>830</v>
      </c>
    </row>
    <row r="52" customFormat="false" ht="15" hidden="false" customHeight="false" outlineLevel="0" collapsed="false">
      <c r="A52" s="5" t="s">
        <v>831</v>
      </c>
      <c r="B52" s="5" t="s">
        <v>777</v>
      </c>
      <c r="C52" s="5" t="s">
        <v>832</v>
      </c>
      <c r="D52" s="5" t="s">
        <v>567</v>
      </c>
      <c r="E52" s="5" t="s">
        <v>604</v>
      </c>
      <c r="F52" s="5" t="s">
        <v>567</v>
      </c>
      <c r="G52" s="5" t="s">
        <v>833</v>
      </c>
      <c r="H52" s="5" t="s">
        <v>790</v>
      </c>
      <c r="I52" s="5" t="s">
        <v>834</v>
      </c>
    </row>
    <row r="53" customFormat="false" ht="15" hidden="false" customHeight="false" outlineLevel="0" collapsed="false">
      <c r="A53" s="5" t="s">
        <v>19</v>
      </c>
      <c r="B53" s="5" t="s">
        <v>835</v>
      </c>
      <c r="C53" s="5" t="s">
        <v>836</v>
      </c>
      <c r="D53" s="5" t="s">
        <v>567</v>
      </c>
      <c r="E53" s="5" t="s">
        <v>568</v>
      </c>
      <c r="F53" s="5" t="s">
        <v>567</v>
      </c>
      <c r="G53" s="5" t="s">
        <v>837</v>
      </c>
      <c r="H53" s="5" t="s">
        <v>838</v>
      </c>
      <c r="I53" s="5" t="s">
        <v>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2026-08-26T17:11:34Z</dcterms:created>
  <dc:creator>openpyxl</dc:creator>
  <dc:description/>
  <dc:language>en-US</dc:language>
  <cp:lastModifiedBy/>
  <dcterms:modified xsi:type="dcterms:W3CDTF">2026-08-26T17:16:54Z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